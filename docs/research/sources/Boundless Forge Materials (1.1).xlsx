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ge Components" sheetId="1" r:id="rId4"/>
    <sheet state="visible" name="Price Data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Just to note which ones you're missing. Doesn't affect anything, just visual.</t>
      </text>
    </comment>
    <comment authorId="0" ref="A59">
      <text>
        <t xml:space="preserve">Remove all Buffs and Debuffs
Add 50 Vigour for each round left
200 Vigour</t>
      </text>
    </comment>
    <comment authorId="0" ref="A26">
      <text>
        <t xml:space="preserve">Add 400 Boon Points
Add 100 Defect Points
Add 200 Quirk Points
50 Vigour
100 - 110 Stability</t>
      </text>
    </comment>
    <comment authorId="0" ref="A51">
      <text>
        <t xml:space="preserve">Adds 50 Stability (250 total)
5 Rounds
200 Vigour
100 - 110 Stability</t>
      </text>
    </comment>
    <comment authorId="0" ref="A18">
      <text>
        <t xml:space="preserve">Make new boons
Vigour 50</t>
      </text>
    </comment>
    <comment authorId="0" ref="A43">
      <text>
        <t xml:space="preserve">Increases boon point gain by 50%
4 Rounds
100 Vigour
100 - 110 Stability</t>
      </text>
    </comment>
    <comment authorId="0" ref="A68">
      <text>
        <t xml:space="preserve">Removes the last Quirk
Add 50% of Quirk Points
200 Vigour</t>
      </text>
    </comment>
    <comment authorId="0" ref="A35">
      <text>
        <t xml:space="preserve">Remove 400 Defect Points
Remove 250 Boon Points
Add 150 Quirk Points
100 Vigour
100 - 110 Stability</t>
      </text>
    </comment>
    <comment authorId="0" ref="D2">
      <text>
        <t xml:space="preserve">Total need for each component</t>
      </text>
    </comment>
    <comment authorId="0" ref="A60">
      <text>
        <t xml:space="preserve">Replace a Fate buff with a Boon Boost buff
100 Vigour</t>
      </text>
    </comment>
    <comment authorId="0" ref="A27">
      <text>
        <t xml:space="preserve">Add 1000 Boon Points
Add 200 Defect Points
Add 500 Quirk Points
100 Vigour
100 - 110 Stability</t>
      </text>
    </comment>
    <comment authorId="0" ref="A52">
      <text>
        <t xml:space="preserve">Improves the chance of Point Slider landing favourably
3 Rounds
50 Vigour
100 - 110 Stability</t>
      </text>
    </comment>
    <comment authorId="0" ref="A19">
      <text>
        <t xml:space="preserve">Add 100 Boon Points
100 - 110 Stability</t>
      </text>
    </comment>
    <comment authorId="0" ref="A44">
      <text>
        <t xml:space="preserve">Reduces defect point gain by 50%
2 Rounds
50 Vigour
100 - 110 Stability</t>
      </text>
    </comment>
    <comment authorId="0" ref="A11">
      <text>
        <t xml:space="preserve">Vigour 50</t>
      </text>
    </comment>
    <comment authorId="0" ref="A69">
      <text>
        <t xml:space="preserve">Change last Boon Type
100 Vigour</t>
      </text>
    </comment>
    <comment authorId="0" ref="A36">
      <text>
        <t xml:space="preserve">Remove 150 Quirk Points
Remove 150 Boon Points
50 Vigour
100 - 110 Stability</t>
      </text>
    </comment>
    <comment authorId="0" ref="A61">
      <text>
        <t xml:space="preserve">Remove a Fate buff
Add 100 Boon Points for each round left
100 Vigour</t>
      </text>
    </comment>
    <comment authorId="0" ref="A28">
      <text>
        <t xml:space="preserve">Add 400 Boon Points
Add 160 Quirk Points
Drain 20 Vigour for 3 Rounds
50 Vigour (110 total)
100 - 110 Stability</t>
      </text>
    </comment>
    <comment authorId="0" ref="A53">
      <text>
        <t xml:space="preserve">Improves the chance of Point Slider landing favourably
5 Rounds
100 Vigour
100 - 110 Stability</t>
      </text>
    </comment>
    <comment authorId="0" ref="A20">
      <text>
        <t xml:space="preserve">Add 200 Boon Points
50 Vigour
100 - 110 Stability</t>
      </text>
    </comment>
    <comment authorId="0" ref="A45">
      <text>
        <t xml:space="preserve">Reduces defect point gain by 50%
4 Rounds
100 Vigour
100 - 110 Stability</t>
      </text>
    </comment>
    <comment authorId="0" ref="A12">
      <text>
        <t xml:space="preserve">Vigour 50</t>
      </text>
    </comment>
    <comment authorId="0" ref="A70">
      <text>
        <t xml:space="preserve">Change last Defect Type
100 Vigour</t>
      </text>
    </comment>
    <comment authorId="0" ref="A37">
      <text>
        <t xml:space="preserve">Remove 400 Quirk Points
Remove 400 Boon Points
100 Vigour
100 - 110 Stability</t>
      </text>
    </comment>
    <comment authorId="0" ref="A4">
      <text>
        <t xml:space="preserve">Discord
Mayumi#5034</t>
      </text>
    </comment>
    <comment authorId="0" ref="B4">
      <text>
        <t xml:space="preserve">Base ingredient that are required</t>
      </text>
    </comment>
    <comment authorId="0" ref="D4">
      <text>
        <t xml:space="preserve">Includes the (optional, checkbox above) automatic base components</t>
      </text>
    </comment>
    <comment authorId="0" ref="E4">
      <text>
        <t xml:space="preserve">How many single crafts are needed</t>
      </text>
    </comment>
    <comment authorId="0" ref="F4">
      <text>
        <t xml:space="preserve">How many bulk crafts are needed</t>
      </text>
    </comment>
    <comment authorId="0" ref="G4">
      <text>
        <t xml:space="preserve">How many mass crafts are needed</t>
      </text>
    </comment>
    <comment authorId="0" ref="A62">
      <text>
        <t xml:space="preserve">Remove a Fate buff
Add 200 Boon Points for each round left
200 Vigour</t>
      </text>
    </comment>
    <comment authorId="0" ref="A29">
      <text>
        <t xml:space="preserve">Add 1000 Boon Points
Add 400 Quirk Points
Drain 50 Vigour for 3 Rounds
100 Vigour (250 total)
100 - 110 Stability</t>
      </text>
    </comment>
    <comment authorId="0" ref="K4">
      <text>
        <t xml:space="preserve">Value of one item
Single craft
Includes base item price</t>
      </text>
    </comment>
    <comment authorId="0" ref="O4">
      <text>
        <t xml:space="preserve">Bone, tallow, creature mantle, raw meat</t>
      </text>
    </comment>
    <comment authorId="0" ref="A54">
      <text>
        <t xml:space="preserve">Add a or increase duration of a Fate Buff for every 200 Defect Points added
5 Rounds
200 Vigour
100 - 110 Stability</t>
      </text>
    </comment>
    <comment authorId="0" ref="P4">
      <text>
        <t xml:space="preserve">Fossils</t>
      </text>
    </comment>
    <comment authorId="0" ref="A21">
      <text>
        <t xml:space="preserve">Add 400 Boon Points
100 Vigour
100 - 110 Stability</t>
      </text>
    </comment>
    <comment authorId="0" ref="Q4">
      <text>
        <t xml:space="preserve">Shrooms in T1+
Boori</t>
      </text>
    </comment>
    <comment authorId="0" ref="R4">
      <text>
        <t xml:space="preserve">Purple tower corals underwater</t>
      </text>
    </comment>
    <comment authorId="0" ref="S4">
      <text>
        <t xml:space="preserve">Glowcaps in T5+ Lush
Besevrona</t>
      </text>
    </comment>
    <comment authorId="0" ref="T4">
      <text>
        <t xml:space="preserve">Shrooms from T5+ Lush</t>
      </text>
    </comment>
    <comment authorId="0" ref="U4">
      <text>
        <t xml:space="preserve">Purple corals towers underwater
Besevrona</t>
      </text>
    </comment>
    <comment authorId="0" ref="V4">
      <text>
        <t xml:space="preserve">Glowcaps in T5+ Lush
Besevrona</t>
      </text>
    </comment>
    <comment authorId="0" ref="A46">
      <text>
        <t xml:space="preserve">Reduces quirk point gain by 50%
2 Rounds
50 Vigour
100 - 110 Stability</t>
      </text>
    </comment>
    <comment authorId="0" ref="X4">
      <text>
        <t xml:space="preserve">Spitter (Strong+) T4+
Hopper (Stout+) T3+
Cuttletrunk (Strong+) T4+</t>
      </text>
    </comment>
    <comment authorId="0" ref="A13">
      <text>
        <t xml:space="preserve">Vigour 50</t>
      </text>
    </comment>
    <comment authorId="0" ref="Y4">
      <text>
        <t xml:space="preserve">Wildstock (Stout+) T1+
Roadrunner T3+</t>
      </text>
    </comment>
    <comment authorId="0" ref="Z4">
      <text>
        <t xml:space="preserve">Spitter T1+
Cuttletrunk (Stout+) T3+</t>
      </text>
    </comment>
    <comment authorId="0" ref="AA4">
      <text>
        <t xml:space="preserve">Hopper
T3+</t>
      </text>
    </comment>
    <comment authorId="0" ref="AB4">
      <text>
        <t xml:space="preserve">Wildstock (Stout+)
T1+</t>
      </text>
    </comment>
    <comment authorId="0" ref="AC4">
      <text>
        <t xml:space="preserve">Spitters (Strong+)
T4+</t>
      </text>
    </comment>
    <comment authorId="0" ref="AD4">
      <text>
        <t xml:space="preserve">Hopper (Strong+)
T4+</t>
      </text>
    </comment>
    <comment authorId="0" ref="A71">
      <text>
        <t xml:space="preserve">Change last Quirk Type
100 Vigour</t>
      </text>
    </comment>
    <comment authorId="0" ref="AE4">
      <text>
        <t xml:space="preserve">Roadrunner (Stout+)
T4+</t>
      </text>
    </comment>
    <comment authorId="0" ref="A38">
      <text>
        <t xml:space="preserve">Remove 100 Quirk Points
Add 50 Defect Points
50 Vigour
100 - 110 Stability</t>
      </text>
    </comment>
    <comment authorId="0" ref="AF4">
      <text>
        <t xml:space="preserve">Spitters (Strong+)
T4+</t>
      </text>
    </comment>
    <comment authorId="0" ref="AG4">
      <text>
        <t xml:space="preserve">Hopper (Strong+)
T4+</t>
      </text>
    </comment>
    <comment authorId="0" ref="AH4">
      <text>
        <t xml:space="preserve">Cuttletrunks (Strong+)
T4+</t>
      </text>
    </comment>
    <comment authorId="0" ref="AI4">
      <text>
        <t xml:space="preserve">Roadrunner
T3+</t>
      </text>
    </comment>
    <comment authorId="0" ref="AJ4">
      <text>
        <t xml:space="preserve">Wildstock (Mighty+)
T5+</t>
      </text>
    </comment>
    <comment authorId="0" ref="AK4">
      <text>
        <t xml:space="preserve">Spitter (Mighty+)
T5+</t>
      </text>
    </comment>
    <comment authorId="0" ref="AL4">
      <text>
        <t xml:space="preserve">Hopper (Mighty+)
T5+</t>
      </text>
    </comment>
    <comment authorId="0" ref="A63">
      <text>
        <t xml:space="preserve">Removes the last Boon
Return 50% of Boon Points
100 Vigour</t>
      </text>
    </comment>
    <comment authorId="0" ref="AM4">
      <text>
        <t xml:space="preserve">Cuttletrunk (Mighty+)
T5+</t>
      </text>
    </comment>
    <comment authorId="0" ref="A30">
      <text>
        <t xml:space="preserve">Add 400 Boon Points
Add 240 Defect Points (During 3 Rounds)
50 Vigour
100 - 110 Stability</t>
      </text>
    </comment>
    <comment authorId="0" ref="AN4">
      <text>
        <t xml:space="preserve">Roadrunner (Stout+)
T4+</t>
      </text>
    </comment>
    <comment authorId="0" ref="AO4">
      <text>
        <t xml:space="preserve">Boulder Tower</t>
      </text>
    </comment>
    <comment authorId="0" ref="AP4">
      <text>
        <t xml:space="preserve">Tapered Boulder
T1 planets, use atlas, dig down</t>
      </text>
    </comment>
    <comment authorId="0" ref="AQ4">
      <text>
        <t xml:space="preserve">Beanstalk Boulder
T4+</t>
      </text>
    </comment>
    <comment authorId="0" ref="AR4">
      <text>
        <t xml:space="preserve">Boulder Chip
T3+
Alnitans</t>
      </text>
    </comment>
    <comment authorId="0" ref="AS4">
      <text>
        <t xml:space="preserve">Round boulders, boulder tower and boulder chip</t>
      </text>
    </comment>
    <comment authorId="0" ref="AT4">
      <text>
        <t xml:space="preserve">Surface, round boulders
T1+</t>
      </text>
    </comment>
    <comment authorId="0" ref="A55">
      <text>
        <t xml:space="preserve">40% Chance of avoiding Stability reduction
3 Rounds
50 Vigour
100 - 110 Stability</t>
      </text>
    </comment>
    <comment authorId="0" ref="AU4">
      <text>
        <t xml:space="preserve">Stardrop flowers
T5+</t>
      </text>
    </comment>
    <comment authorId="0" ref="A22">
      <text>
        <t xml:space="preserve">Add 200 Boon Points
Add 80 Defect Points
100 - 110 Stability</t>
      </text>
    </comment>
    <comment authorId="0" ref="AV4">
      <text>
        <t xml:space="preserve">Trunks</t>
      </text>
    </comment>
    <comment authorId="0" ref="AW4">
      <text>
        <t xml:space="preserve">Rosetta nox, the glowing round flowers
T1+</t>
      </text>
    </comment>
    <comment authorId="0" ref="AX4">
      <text>
        <t xml:space="preserve">Twisted aloba or Oortian staff
T3+</t>
      </text>
    </comment>
    <comment authorId="0" ref="AY4">
      <text>
        <t xml:space="preserve">Desert Sword
T1+
Arie, Niia Zed Ka</t>
      </text>
    </comment>
    <comment authorId="0" ref="AZ4">
      <text>
        <t xml:space="preserve">Stardrop flowers
T5+
Alnitans</t>
      </text>
    </comment>
    <comment authorId="0" ref="BA4">
      <text>
        <t xml:space="preserve">Extractor 4 Strawberries or 2 sap</t>
      </text>
    </comment>
    <comment authorId="0" ref="BB4">
      <text>
        <t xml:space="preserve">Furnace 1 trunk</t>
      </text>
    </comment>
    <comment authorId="0" ref="A47">
      <text>
        <t xml:space="preserve">Reduces quirk point gain by 50%
4 Rounds
100 Vigour
100 - 110 Stability</t>
      </text>
    </comment>
    <comment authorId="0" ref="BC4">
      <text>
        <t xml:space="preserve">Furnace 2 silty soil + 2 sand</t>
      </text>
    </comment>
    <comment authorId="0" ref="A14">
      <text>
        <t xml:space="preserve">Vigour 50</t>
      </text>
    </comment>
    <comment authorId="0" ref="A72">
      <text>
        <t xml:space="preserve">Finish the forging process</t>
      </text>
    </comment>
    <comment authorId="0" ref="A39">
      <text>
        <t xml:space="preserve">Remove 400 Quirk Points
Add 150 Defect Points
100 Vigour
100 - 110 Stability</t>
      </text>
    </comment>
    <comment authorId="0" ref="A64">
      <text>
        <t xml:space="preserve">Removes the last Boon
Return 100% of Boon Points
200 Vigour</t>
      </text>
    </comment>
    <comment authorId="0" ref="A31">
      <text>
        <t xml:space="preserve">Add 1000 Boon Points
Add 540 Defect Points (During 3 Rounds)
100 Vigour
100 - 110 Stability</t>
      </text>
    </comment>
    <comment authorId="0" ref="A56">
      <text>
        <t xml:space="preserve">60% Chance of avoiding Stability reduction
3 Rounds
50 Vigour
100 - 110 Stability</t>
      </text>
    </comment>
    <comment authorId="0" ref="A23">
      <text>
        <t xml:space="preserve">Add 400 Boon Points
Add 160 Defect Points
50 Vigour
100 - 110 Stability</t>
      </text>
    </comment>
    <comment authorId="0" ref="A48">
      <text>
        <t xml:space="preserve">Adds 15 Vigour (75 total)
5 Rounds
100 - 110 Stability</t>
      </text>
    </comment>
    <comment authorId="0" ref="A15">
      <text>
        <t xml:space="preserve">Vigour 50</t>
      </text>
    </comment>
    <comment authorId="0" ref="A73">
      <text>
        <t xml:space="preserve">Abort Forging
Return 25% of used ingredients</t>
      </text>
    </comment>
    <comment authorId="0" ref="A40">
      <text>
        <t xml:space="preserve">Reduces stability loss by 50%
2 Rounds
50 Vigour
100 - 110 Stability</t>
      </text>
    </comment>
    <comment authorId="0" ref="A65">
      <text>
        <t xml:space="preserve">Removes the last Defect
Add 100% of Defect Points
100 Vigour</t>
      </text>
    </comment>
    <comment authorId="0" ref="A32">
      <text>
        <t xml:space="preserve">Remove 150 Defect Points
Remove 150 Boon Points
50 Vigour
100 - 110 Stability</t>
      </text>
    </comment>
    <comment authorId="0" ref="A57">
      <text>
        <t xml:space="preserve">Remove 50% Defect Points
Add them as Boon Points
200 Vigour</t>
      </text>
    </comment>
    <comment authorId="0" ref="A24">
      <text>
        <t xml:space="preserve">Add 1000 Boon Points
Add 400 Defect Points
100 Vigour
100 - 110 Stability</t>
      </text>
    </comment>
    <comment authorId="0" ref="A49">
      <text>
        <t xml:space="preserve">Adds 50 Vigour (250 total)
5 Rounds
100 Vigour
100 - 110 Stability</t>
      </text>
    </comment>
    <comment authorId="0" ref="A16">
      <text>
        <t xml:space="preserve">Vigour 50</t>
      </text>
    </comment>
    <comment authorId="0" ref="A74">
      <text>
        <t xml:space="preserve">Abort Forging
Return 50% of used ingredients</t>
      </text>
    </comment>
    <comment authorId="0" ref="A41">
      <text>
        <t xml:space="preserve">Reduces stability loss by 50%
4 Rounds
100 Vigour
100 - 110 Stability</t>
      </text>
    </comment>
    <comment authorId="0" ref="A66">
      <text>
        <t xml:space="preserve">Removes the last Defect
Add 50% of Defect Points
200 Vigour</t>
      </text>
    </comment>
    <comment authorId="0" ref="A33">
      <text>
        <t xml:space="preserve">Remove 400 Defect Points
Remove 400 Boon Points
100 Vigour
100 - 110 Stability</t>
      </text>
    </comment>
    <comment authorId="0" ref="A58">
      <text>
        <t xml:space="preserve">Remove all Buffs and Debuffs
Add 30 Vigour for each round left
100 Vigour</t>
      </text>
    </comment>
    <comment authorId="0" ref="A25">
      <text>
        <t xml:space="preserve">Add 200 Boon Points
Add 50 Defect Points
Add 100 Quirk Points
100 - 110 Stability</t>
      </text>
    </comment>
    <comment authorId="0" ref="A50">
      <text>
        <t xml:space="preserve">Adds 35 Stability (175 total)
5 Rounds
100 Vigour
100 - 110 Stability</t>
      </text>
    </comment>
    <comment authorId="0" ref="A17">
      <text>
        <t xml:space="preserve">Level existing boons
Vigour 50</t>
      </text>
    </comment>
    <comment authorId="0" ref="A75">
      <text>
        <t xml:space="preserve">Abort Forging
Return 75% of used ingredients</t>
      </text>
    </comment>
    <comment authorId="0" ref="A42">
      <text>
        <t xml:space="preserve">Increases boon point gain by 50%
2 Rounds
50 Vigour
100 - 110 Stability</t>
      </text>
    </comment>
    <comment authorId="0" ref="A67">
      <text>
        <t xml:space="preserve">Removes the last Quirk
Add 100% of Quirk Points
100 Vigour</t>
      </text>
    </comment>
    <comment authorId="0" ref="A34">
      <text>
        <t xml:space="preserve">Remove 150 Defect Points
Remove 100 Boon Points
Add 50 Quirk Points
50 Vigour
100 - 110 Stability</t>
      </text>
    </comment>
  </commentList>
</comments>
</file>

<file path=xl/sharedStrings.xml><?xml version="1.0" encoding="utf-8"?>
<sst xmlns="http://schemas.openxmlformats.org/spreadsheetml/2006/main" count="294" uniqueCount="132">
  <si>
    <t>Item</t>
  </si>
  <si>
    <t>Price</t>
  </si>
  <si>
    <t>Fresh Vital</t>
  </si>
  <si>
    <t>Ancient Vital</t>
  </si>
  <si>
    <t>Pulsating Orb</t>
  </si>
  <si>
    <t>Vital Orb</t>
  </si>
  <si>
    <t>Shimmering Orb</t>
  </si>
  <si>
    <t>Shadow Orb</t>
  </si>
  <si>
    <t>Reactive Lamella</t>
  </si>
  <si>
    <t>Glowing Lamella</t>
  </si>
  <si>
    <t>Hide</t>
  </si>
  <si>
    <t>Creature Mantle</t>
  </si>
  <si>
    <t>Fresh Blood</t>
  </si>
  <si>
    <t>Viscous Blood</t>
  </si>
  <si>
    <t>Force mass craft?</t>
  </si>
  <si>
    <t>Volatile Blood</t>
  </si>
  <si>
    <t>Spitter Eye</t>
  </si>
  <si>
    <t>Wildstock Eye</t>
  </si>
  <si>
    <t>Hopper Eye</t>
  </si>
  <si>
    <t>Roadrunner Eye</t>
  </si>
  <si>
    <t>Adrenal Gland</t>
  </si>
  <si>
    <t>Spark Sac</t>
  </si>
  <si>
    <t>Checklist</t>
  </si>
  <si>
    <t>Flotation Sac</t>
  </si>
  <si>
    <t>Thermal Sac</t>
  </si>
  <si>
    <t>Wildstock Trophy</t>
  </si>
  <si>
    <t>Cuttletrunk Trophy</t>
  </si>
  <si>
    <t>Hopper Trophy</t>
  </si>
  <si>
    <t>Spitter Trophy</t>
  </si>
  <si>
    <t>Roadrunner Trophy</t>
  </si>
  <si>
    <t>Olivine Fragment</t>
  </si>
  <si>
    <t>Saltpetre Fragment</t>
  </si>
  <si>
    <t>Sulphur Fragment</t>
  </si>
  <si>
    <t>Cobalt Fragment</t>
  </si>
  <si>
    <t>Flint</t>
  </si>
  <si>
    <t>Opal</t>
  </si>
  <si>
    <t>Petal</t>
  </si>
  <si>
    <t>Sap</t>
  </si>
  <si>
    <t>Inky Leaf</t>
  </si>
  <si>
    <t>Fleshy Leaf</t>
  </si>
  <si>
    <t>Spicy Bean</t>
  </si>
  <si>
    <t>Bitter Bean</t>
  </si>
  <si>
    <t>Syrup</t>
  </si>
  <si>
    <t>Autowant base component?</t>
  </si>
  <si>
    <t>Charcoal</t>
  </si>
  <si>
    <t>Glass</t>
  </si>
  <si>
    <t>Total Need</t>
  </si>
  <si>
    <t>Total price to craft one</t>
  </si>
  <si>
    <t>Autowant</t>
  </si>
  <si>
    <t>Want</t>
  </si>
  <si>
    <t>Total Want</t>
  </si>
  <si>
    <t>Single</t>
  </si>
  <si>
    <t>Bulk</t>
  </si>
  <si>
    <t>Mass</t>
  </si>
  <si>
    <t>Mass qty</t>
  </si>
  <si>
    <t>Base Item</t>
  </si>
  <si>
    <t>Price Each</t>
  </si>
  <si>
    <t>Spark</t>
  </si>
  <si>
    <t>Power</t>
  </si>
  <si>
    <t>Base</t>
  </si>
  <si>
    <t>Compound Base</t>
  </si>
  <si>
    <t>-</t>
  </si>
  <si>
    <t>Paste Base</t>
  </si>
  <si>
    <t>Gum Base</t>
  </si>
  <si>
    <t>Catalyst Base</t>
  </si>
  <si>
    <t>Solvent Base</t>
  </si>
  <si>
    <t>Resin Base</t>
  </si>
  <si>
    <t>Special Gum</t>
  </si>
  <si>
    <t>Effect Gum</t>
  </si>
  <si>
    <t>Longevity Gum</t>
  </si>
  <si>
    <t>Ease Gum</t>
  </si>
  <si>
    <t>Lightness Gum</t>
  </si>
  <si>
    <t>Glow Gum</t>
  </si>
  <si>
    <t>Trait Reduction Gum</t>
  </si>
  <si>
    <t>Trait Expansion Gum</t>
  </si>
  <si>
    <t>Pure Boon I</t>
  </si>
  <si>
    <t>Pure Boon II</t>
  </si>
  <si>
    <t>Pure Boon III</t>
  </si>
  <si>
    <t>Imperfect Boon I</t>
  </si>
  <si>
    <t>Imperfect Boon II</t>
  </si>
  <si>
    <t>Imperfect Boon III</t>
  </si>
  <si>
    <t>Unstable Boon I</t>
  </si>
  <si>
    <t>Unstable Boon II</t>
  </si>
  <si>
    <t>Unstable Boon III</t>
  </si>
  <si>
    <t>Draining Boon I</t>
  </si>
  <si>
    <t>Draining Boon II</t>
  </si>
  <si>
    <t>Corrupted Boon I</t>
  </si>
  <si>
    <t>Corrupted Boon II</t>
  </si>
  <si>
    <t>Defect Reduction I</t>
  </si>
  <si>
    <t>Defect Reduction II</t>
  </si>
  <si>
    <t>Unstable Defect Reduction I</t>
  </si>
  <si>
    <t>Unstable Defect Reduction II</t>
  </si>
  <si>
    <t>Quirk Reduction I</t>
  </si>
  <si>
    <t>Quirk Reduction II</t>
  </si>
  <si>
    <t>Imperfect Quirk Reduction I</t>
  </si>
  <si>
    <t>Imperfect Quirk Reduction II</t>
  </si>
  <si>
    <t>Protection Paste I</t>
  </si>
  <si>
    <t>Protection Paste II</t>
  </si>
  <si>
    <t>Boon Paste I</t>
  </si>
  <si>
    <t>Boon Paste II</t>
  </si>
  <si>
    <t>Defect Guard Paste I</t>
  </si>
  <si>
    <t>Defect Guard Paste II</t>
  </si>
  <si>
    <t>Quirk Guard Paste I</t>
  </si>
  <si>
    <t>Quirk Guard Paste II</t>
  </si>
  <si>
    <t>Invigoration Paste I</t>
  </si>
  <si>
    <t>Invigoration Paste II</t>
  </si>
  <si>
    <t>Stabilisation Paste I</t>
  </si>
  <si>
    <t>Stabilisation Paste II</t>
  </si>
  <si>
    <t>Fate Paste I</t>
  </si>
  <si>
    <t>Fate Paste II</t>
  </si>
  <si>
    <t>Fate Reversal Paste</t>
  </si>
  <si>
    <t>Gambling Paste I</t>
  </si>
  <si>
    <t>Gambling Paste II</t>
  </si>
  <si>
    <t>Defect Reversal Catalyst</t>
  </si>
  <si>
    <t>Vigour Catalyst I</t>
  </si>
  <si>
    <t>Vigour Catalyst II</t>
  </si>
  <si>
    <t>Boon Boost Catalyst</t>
  </si>
  <si>
    <t>Boon Points Catalyst I</t>
  </si>
  <si>
    <t>Boon Points Catalyst II</t>
  </si>
  <si>
    <t>Boon Removal Solvent I</t>
  </si>
  <si>
    <t>Boon Removal Solvent II</t>
  </si>
  <si>
    <t>Defect Removal Solvent I</t>
  </si>
  <si>
    <t>Defect Removal Solvent II</t>
  </si>
  <si>
    <t>Quirk Removal Solvent I</t>
  </si>
  <si>
    <t>Quirk Removal Solvent II</t>
  </si>
  <si>
    <t>Boon Transmute Solvent</t>
  </si>
  <si>
    <t>Defect Transmute Solvent</t>
  </si>
  <si>
    <t>Quirk Transmute Solvent</t>
  </si>
  <si>
    <t>Setting Resin</t>
  </si>
  <si>
    <t>Deconstruction Resin I</t>
  </si>
  <si>
    <t>Deconstruction Resin II</t>
  </si>
  <si>
    <t>Deconstruction Resin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</si>
</sst>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# ##0"/>
  </numFmts>
  <fonts count="11">
    <font>
      <sz val="10.0"/>
      <color rgb="FF000000"/>
      <name val="Arial"/>
    </font>
    <font>
      <b/>
      <name val="Arial"/>
    </font>
    <font>
      <b/>
    </font>
    <font/>
    <font>
      <name val="Arial"/>
    </font>
    <font>
      <sz val="14.0"/>
    </font>
    <font>
      <b/>
      <sz val="14.0"/>
    </font>
    <font>
      <u/>
      <sz val="14.0"/>
      <color rgb="FF0000FF"/>
    </font>
    <font>
      <sz val="14.0"/>
      <name val="Arial"/>
    </font>
    <font>
      <sz val="14.0"/>
      <color rgb="FFF3F3F3"/>
    </font>
    <font>
      <sz val="14.0"/>
      <color rgb="FF0000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BFEB"/>
        <bgColor rgb="FFFFBFEB"/>
      </patternFill>
    </fill>
    <fill>
      <patternFill patternType="solid">
        <fgColor rgb="FFA4C2F4"/>
        <bgColor rgb="FFA4C2F4"/>
      </patternFill>
    </fill>
    <fill>
      <patternFill patternType="solid">
        <fgColor rgb="FFC7FFB5"/>
        <bgColor rgb="FFC7FFB5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BDF8FF"/>
        <bgColor rgb="FFBDF8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88F3C6"/>
        <bgColor rgb="FF88F3C6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8ED7C9"/>
        <bgColor rgb="FF8ED7C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</fills>
  <borders count="23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hair">
        <color rgb="FFB7B7B7"/>
      </left>
      <right style="hair">
        <color rgb="FFB7B7B7"/>
      </right>
      <top style="medium">
        <color rgb="FF000000"/>
      </top>
      <bottom style="medium">
        <color rgb="FF000000"/>
      </bottom>
    </border>
    <border>
      <left style="hair">
        <color rgb="FFB7B7B7"/>
      </left>
      <top style="medium">
        <color rgb="FF000000"/>
      </top>
      <bottom style="medium">
        <color rgb="FF000000"/>
      </bottom>
    </border>
    <border>
      <left style="hair">
        <color rgb="FFB7B7B7"/>
      </left>
      <right style="hair">
        <color rgb="FFB7B7B7"/>
      </right>
      <bottom style="medium">
        <color rgb="FF000000"/>
      </bottom>
    </border>
    <border>
      <right style="hair">
        <color rgb="FFB7B7B7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B7B7B7"/>
      </right>
      <top style="medium">
        <color rgb="FF000000"/>
      </top>
      <bottom style="medium">
        <color rgb="FF000000"/>
      </bottom>
    </border>
    <border>
      <left style="hair">
        <color rgb="FFB7B7B7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B7B7B7"/>
      </left>
      <right style="thin">
        <color rgb="FF434343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textRotation="0" vertical="top"/>
    </xf>
    <xf borderId="0" fillId="0" fontId="2" numFmtId="164" xfId="0" applyAlignment="1" applyFont="1" applyNumberFormat="1">
      <alignment horizontal="right" readingOrder="0" textRotation="0"/>
    </xf>
    <xf borderId="0" fillId="0" fontId="3" numFmtId="0" xfId="0" applyAlignment="1" applyFont="1">
      <alignment horizontal="left" textRotation="0"/>
    </xf>
    <xf borderId="0" fillId="2" fontId="4" numFmtId="0" xfId="0" applyAlignment="1" applyFill="1" applyFont="1">
      <alignment horizontal="left" textRotation="0" vertical="top"/>
    </xf>
    <xf borderId="0" fillId="0" fontId="4" numFmtId="164" xfId="0" applyAlignment="1" applyFont="1" applyNumberFormat="1">
      <alignment horizontal="right" textRotation="0" vertical="bottom"/>
    </xf>
    <xf borderId="0" fillId="0" fontId="3" numFmtId="0" xfId="0" applyAlignment="1" applyFont="1">
      <alignment horizontal="left" readingOrder="0" textRotation="0" vertical="top"/>
    </xf>
    <xf borderId="1" fillId="3" fontId="4" numFmtId="0" xfId="0" applyAlignment="1" applyBorder="1" applyFill="1" applyFont="1">
      <alignment horizontal="left" textRotation="0" vertical="top"/>
    </xf>
    <xf borderId="1" fillId="0" fontId="4" numFmtId="164" xfId="0" applyAlignment="1" applyBorder="1" applyFont="1" applyNumberFormat="1">
      <alignment horizontal="right" textRotation="0" vertical="bottom"/>
    </xf>
    <xf borderId="0" fillId="4" fontId="4" numFmtId="0" xfId="0" applyAlignment="1" applyFill="1" applyFont="1">
      <alignment horizontal="left" textRotation="0" vertical="top"/>
    </xf>
    <xf borderId="0" fillId="5" fontId="4" numFmtId="0" xfId="0" applyAlignment="1" applyFill="1" applyFont="1">
      <alignment horizontal="left" textRotation="0" vertical="top"/>
    </xf>
    <xf borderId="0" fillId="6" fontId="4" numFmtId="0" xfId="0" applyAlignment="1" applyFill="1" applyFont="1">
      <alignment horizontal="left" textRotation="0" vertical="top"/>
    </xf>
    <xf borderId="1" fillId="7" fontId="4" numFmtId="0" xfId="0" applyAlignment="1" applyBorder="1" applyFill="1" applyFont="1">
      <alignment horizontal="left" textRotation="0" vertical="top"/>
    </xf>
    <xf borderId="0" fillId="8" fontId="3" numFmtId="0" xfId="0" applyAlignment="1" applyFill="1" applyFont="1">
      <alignment horizontal="left" readingOrder="0" textRotation="0" vertical="top"/>
    </xf>
    <xf borderId="1" fillId="9" fontId="3" numFmtId="0" xfId="0" applyAlignment="1" applyBorder="1" applyFill="1" applyFont="1">
      <alignment horizontal="left" readingOrder="0" textRotation="0" vertical="top"/>
    </xf>
    <xf borderId="0" fillId="6" fontId="3" numFmtId="0" xfId="0" applyAlignment="1" applyFill="1" applyFont="1">
      <alignment horizontal="left" readingOrder="0" textRotation="0" vertical="top"/>
    </xf>
    <xf borderId="1" fillId="5" fontId="3" numFmtId="0" xfId="0" applyAlignment="1" applyBorder="1" applyFill="1" applyFont="1">
      <alignment horizontal="left" readingOrder="0" textRotation="0" vertical="top"/>
    </xf>
    <xf borderId="0" fillId="10" fontId="3" numFmtId="0" xfId="0" applyAlignment="1" applyFill="1" applyFont="1">
      <alignment horizontal="left" readingOrder="0" textRotation="0" vertical="top"/>
    </xf>
    <xf borderId="0" fillId="11" fontId="3" numFmtId="0" xfId="0" applyAlignment="1" applyFill="1" applyFont="1">
      <alignment horizontal="left" readingOrder="0" textRotation="0" vertical="top"/>
    </xf>
    <xf borderId="1" fillId="12" fontId="3" numFmtId="0" xfId="0" applyAlignment="1" applyBorder="1" applyFill="1" applyFont="1">
      <alignment horizontal="left" readingOrder="0" textRotation="0" vertical="top"/>
    </xf>
    <xf borderId="2" fillId="0" fontId="5" numFmtId="0" xfId="0" applyAlignment="1" applyBorder="1" applyFont="1">
      <alignment readingOrder="0"/>
    </xf>
    <xf borderId="0" fillId="4" fontId="3" numFmtId="0" xfId="0" applyAlignment="1" applyFill="1" applyFont="1">
      <alignment horizontal="left" readingOrder="0" textRotation="0" vertical="top"/>
    </xf>
    <xf borderId="3" fillId="0" fontId="5" numFmtId="0" xfId="0" applyBorder="1" applyFont="1"/>
    <xf borderId="0" fillId="13" fontId="3" numFmtId="0" xfId="0" applyAlignment="1" applyFill="1" applyFont="1">
      <alignment horizontal="left" readingOrder="0" textRotation="0" vertical="top"/>
    </xf>
    <xf borderId="0" fillId="14" fontId="3" numFmtId="0" xfId="0" applyAlignment="1" applyFill="1" applyFont="1">
      <alignment horizontal="left" readingOrder="0" textRotation="0" vertical="top"/>
    </xf>
    <xf borderId="1" fillId="16" fontId="3" numFmtId="0" xfId="0" applyAlignment="1" applyBorder="1" applyFill="1" applyFont="1">
      <alignment horizontal="left" readingOrder="0" textRotation="0" vertical="top"/>
    </xf>
    <xf borderId="4" fillId="15" fontId="5" numFmtId="0" xfId="0" applyAlignment="1" applyBorder="1" applyFill="1" applyFont="1">
      <alignment horizontal="center" readingOrder="0"/>
    </xf>
    <xf borderId="0" fillId="17" fontId="3" numFmtId="0" xfId="0" applyAlignment="1" applyFill="1" applyFont="1">
      <alignment horizontal="left" readingOrder="0" textRotation="0" vertical="top"/>
    </xf>
    <xf borderId="0" fillId="5" fontId="3" numFmtId="0" xfId="0" applyAlignment="1" applyFill="1" applyFont="1">
      <alignment horizontal="left" readingOrder="0" textRotation="0" vertical="top"/>
    </xf>
    <xf borderId="0" fillId="0" fontId="6" numFmtId="0" xfId="0" applyAlignment="1" applyFont="1">
      <alignment horizontal="center" readingOrder="0"/>
    </xf>
    <xf borderId="1" fillId="6" fontId="3" numFmtId="0" xfId="0" applyAlignment="1" applyBorder="1" applyFill="1" applyFont="1">
      <alignment horizontal="left" readingOrder="0" textRotation="0" vertical="top"/>
    </xf>
    <xf borderId="0" fillId="0" fontId="5" numFmtId="0" xfId="0" applyAlignment="1" applyFont="1">
      <alignment horizontal="center" readingOrder="0"/>
    </xf>
    <xf borderId="0" fillId="16" fontId="3" numFmtId="0" xfId="0" applyAlignment="1" applyFill="1" applyFont="1">
      <alignment horizontal="left" readingOrder="0" textRotation="0" vertical="top"/>
    </xf>
    <xf borderId="0" fillId="0" fontId="5" numFmtId="0" xfId="0" applyFont="1"/>
    <xf borderId="0" fillId="18" fontId="3" numFmtId="0" xfId="0" applyAlignment="1" applyFill="1" applyFont="1">
      <alignment horizontal="left" readingOrder="0" textRotation="0" vertical="top"/>
    </xf>
    <xf borderId="0" fillId="0" fontId="5" numFmtId="0" xfId="0" applyAlignment="1" applyFont="1">
      <alignment readingOrder="0"/>
    </xf>
    <xf borderId="0" fillId="19" fontId="3" numFmtId="0" xfId="0" applyAlignment="1" applyFill="1" applyFont="1">
      <alignment horizontal="left" readingOrder="0" textRotation="0" vertical="top"/>
    </xf>
    <xf borderId="1" fillId="0" fontId="3" numFmtId="0" xfId="0" applyAlignment="1" applyBorder="1" applyFont="1">
      <alignment horizontal="left" readingOrder="0" textRotation="0" vertical="top"/>
    </xf>
    <xf borderId="0" fillId="20" fontId="3" numFmtId="0" xfId="0" applyAlignment="1" applyFill="1" applyFont="1">
      <alignment horizontal="left" readingOrder="0" textRotation="0" vertical="top"/>
    </xf>
    <xf borderId="0" fillId="21" fontId="3" numFmtId="0" xfId="0" applyAlignment="1" applyFill="1" applyFont="1">
      <alignment horizontal="left" readingOrder="0" textRotation="0" vertical="top"/>
    </xf>
    <xf borderId="1" fillId="22" fontId="3" numFmtId="0" xfId="0" applyAlignment="1" applyBorder="1" applyFill="1" applyFont="1">
      <alignment horizontal="left" readingOrder="0" textRotation="0" vertical="top"/>
    </xf>
    <xf borderId="0" fillId="7" fontId="3" numFmtId="0" xfId="0" applyAlignment="1" applyFill="1" applyFont="1">
      <alignment horizontal="left" readingOrder="0" textRotation="0" vertical="top"/>
    </xf>
    <xf borderId="1" fillId="23" fontId="3" numFmtId="0" xfId="0" applyAlignment="1" applyBorder="1" applyFill="1" applyFont="1">
      <alignment horizontal="left" readingOrder="0" textRotation="0" vertical="top"/>
    </xf>
    <xf borderId="0" fillId="24" fontId="3" numFmtId="0" xfId="0" applyAlignment="1" applyFill="1" applyFont="1">
      <alignment horizontal="left" readingOrder="0" textRotation="0" vertical="top"/>
    </xf>
    <xf borderId="5" fillId="25" fontId="5" numFmtId="0" xfId="0" applyAlignment="1" applyBorder="1" applyFill="1" applyFont="1">
      <alignment horizontal="center" readingOrder="0"/>
    </xf>
    <xf borderId="1" fillId="26" fontId="3" numFmtId="0" xfId="0" applyAlignment="1" applyBorder="1" applyFill="1" applyFont="1">
      <alignment horizontal="left" readingOrder="0" textRotation="0" vertical="top"/>
    </xf>
    <xf borderId="0" fillId="0" fontId="5" numFmtId="0" xfId="0" applyAlignment="1" applyFont="1">
      <alignment horizontal="center" textRotation="0" vertical="bottom"/>
    </xf>
    <xf borderId="0" fillId="27" fontId="3" numFmtId="0" xfId="0" applyAlignment="1" applyFill="1" applyFont="1">
      <alignment horizontal="left" readingOrder="0" textRotation="0" vertical="top"/>
    </xf>
    <xf borderId="0" fillId="0" fontId="4" numFmtId="164" xfId="0" applyAlignment="1" applyFont="1" applyNumberFormat="1">
      <alignment horizontal="right" readingOrder="0" textRotation="0" vertical="bottom"/>
    </xf>
    <xf borderId="0" fillId="28" fontId="3" numFmtId="0" xfId="0" applyAlignment="1" applyFill="1" applyFont="1">
      <alignment horizontal="left" readingOrder="0" textRotation="0" vertical="top"/>
    </xf>
    <xf borderId="0" fillId="0" fontId="4" numFmtId="0" xfId="0" applyAlignment="1" applyFont="1">
      <alignment horizontal="right" vertical="bottom"/>
    </xf>
    <xf borderId="6" fillId="0" fontId="5" numFmtId="0" xfId="0" applyAlignment="1" applyBorder="1" applyFont="1">
      <alignment readingOrder="0" vertical="center"/>
    </xf>
    <xf borderId="0" fillId="29" fontId="3" numFmtId="0" xfId="0" applyAlignment="1" applyFill="1" applyFont="1">
      <alignment horizontal="left" readingOrder="0" textRotation="0" vertical="top"/>
    </xf>
    <xf borderId="1" fillId="0" fontId="5" numFmtId="0" xfId="0" applyBorder="1" applyFont="1"/>
    <xf borderId="7" fillId="15" fontId="5" numFmtId="0" xfId="0" applyAlignment="1" applyBorder="1" applyFill="1" applyFont="1">
      <alignment horizontal="center" readingOrder="0" vertical="center"/>
    </xf>
    <xf borderId="0" fillId="0" fontId="3" numFmtId="164" xfId="0" applyAlignment="1" applyFont="1" applyNumberFormat="1">
      <alignment horizontal="right"/>
    </xf>
    <xf borderId="8" fillId="0" fontId="6" numFmtId="0" xfId="0" applyAlignment="1" applyBorder="1" applyFont="1">
      <alignment horizontal="center" readingOrder="0"/>
    </xf>
    <xf borderId="9" fillId="0" fontId="3" numFmtId="0" xfId="0" applyBorder="1" applyFont="1"/>
    <xf borderId="9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5" numFmtId="0" xfId="0" applyBorder="1" applyFont="1"/>
    <xf borderId="9" fillId="0" fontId="5" numFmtId="0" xfId="0" applyAlignment="1" applyBorder="1" applyFont="1">
      <alignment horizontal="center" textRotation="180" vertical="bottom"/>
    </xf>
    <xf borderId="10" fillId="0" fontId="5" numFmtId="0" xfId="0" applyAlignment="1" applyBorder="1" applyFont="1">
      <alignment horizontal="center" textRotation="180" vertical="bottom"/>
    </xf>
    <xf borderId="5" fillId="25" fontId="5" numFmtId="0" xfId="0" applyBorder="1" applyFill="1" applyFont="1"/>
    <xf borderId="0" fillId="0" fontId="6" numFmtId="0" xfId="0" applyAlignment="1" applyFont="1">
      <alignment horizontal="center"/>
    </xf>
    <xf borderId="0" fillId="0" fontId="5" numFmtId="164" xfId="0" applyAlignment="1" applyFont="1" applyNumberFormat="1">
      <alignment readingOrder="0" textRotation="180"/>
    </xf>
    <xf borderId="0" fillId="0" fontId="5" numFmtId="0" xfId="0" applyAlignment="1" applyFont="1">
      <alignment readingOrder="0" textRotation="180"/>
    </xf>
    <xf borderId="0" fillId="0" fontId="5" numFmtId="0" xfId="0" applyAlignment="1" applyFont="1">
      <alignment readingOrder="0" textRotation="0"/>
    </xf>
    <xf borderId="11" fillId="0" fontId="7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2" fillId="0" fontId="5" numFmtId="0" xfId="0" applyAlignment="1" applyBorder="1" applyFont="1">
      <alignment horizontal="center" textRotation="180" vertical="center"/>
    </xf>
    <xf borderId="0" fillId="0" fontId="5" numFmtId="0" xfId="0" applyAlignment="1" applyFont="1">
      <alignment horizontal="center" textRotation="180" vertical="center"/>
    </xf>
    <xf borderId="11" fillId="0" fontId="5" numFmtId="0" xfId="0" applyAlignment="1" applyBorder="1" applyFont="1">
      <alignment horizontal="center" textRotation="180" vertical="center"/>
    </xf>
    <xf borderId="5" fillId="25" fontId="5" numFmtId="0" xfId="0" applyAlignment="1" applyBorder="1" applyFill="1" applyFont="1">
      <alignment vertical="center"/>
    </xf>
    <xf borderId="0" fillId="0" fontId="5" numFmtId="0" xfId="0" applyAlignment="1" applyFont="1">
      <alignment readingOrder="0" textRotation="180" vertical="center"/>
    </xf>
    <xf borderId="9" fillId="0" fontId="5" numFmtId="0" xfId="0" applyAlignment="1" applyBorder="1" applyFont="1">
      <alignment horizontal="center" textRotation="0" vertical="center"/>
    </xf>
    <xf borderId="13" fillId="0" fontId="5" numFmtId="0" xfId="0" applyAlignment="1" applyBorder="1" applyFont="1">
      <alignment horizontal="left" readingOrder="0" textRotation="180" vertical="top"/>
    </xf>
    <xf borderId="14" fillId="0" fontId="5" numFmtId="0" xfId="0" applyAlignment="1" applyBorder="1" applyFont="1">
      <alignment horizontal="left" readingOrder="0" textRotation="180" vertical="top"/>
    </xf>
    <xf borderId="15" fillId="0" fontId="5" numFmtId="0" xfId="0" applyAlignment="1" applyBorder="1" applyFont="1">
      <alignment horizontal="left" readingOrder="0" textRotation="180" vertical="top"/>
    </xf>
    <xf borderId="16" fillId="0" fontId="5" numFmtId="0" xfId="0" applyAlignment="1" applyBorder="1" applyFont="1">
      <alignment horizontal="left" readingOrder="0" textRotation="180" vertical="top"/>
    </xf>
    <xf borderId="13" fillId="0" fontId="5" numFmtId="0" xfId="0" applyAlignment="1" applyBorder="1" applyFont="1">
      <alignment horizontal="center" readingOrder="0" textRotation="180" vertical="top"/>
    </xf>
    <xf borderId="14" fillId="0" fontId="5" numFmtId="0" xfId="0" applyAlignment="1" applyBorder="1" applyFont="1">
      <alignment horizontal="center" readingOrder="0" textRotation="180" vertical="top"/>
    </xf>
    <xf borderId="8" fillId="0" fontId="5" numFmtId="0" xfId="0" applyAlignment="1" applyBorder="1" applyFont="1">
      <alignment horizontal="left" readingOrder="0" textRotation="180" vertical="top"/>
    </xf>
    <xf borderId="17" fillId="2" fontId="5" numFmtId="0" xfId="0" applyAlignment="1" applyBorder="1" applyFill="1" applyFont="1">
      <alignment horizontal="left" readingOrder="0" textRotation="180" vertical="top"/>
    </xf>
    <xf borderId="18" fillId="3" fontId="5" numFmtId="0" xfId="0" applyAlignment="1" applyBorder="1" applyFill="1" applyFont="1">
      <alignment horizontal="left" readingOrder="0" textRotation="180" vertical="top"/>
    </xf>
    <xf borderId="17" fillId="4" fontId="5" numFmtId="0" xfId="0" applyAlignment="1" applyBorder="1" applyFill="1" applyFont="1">
      <alignment horizontal="left" readingOrder="0" textRotation="180" vertical="top"/>
    </xf>
    <xf borderId="13" fillId="5" fontId="5" numFmtId="0" xfId="0" applyAlignment="1" applyBorder="1" applyFill="1" applyFont="1">
      <alignment horizontal="left" readingOrder="0" textRotation="180" vertical="top"/>
    </xf>
    <xf borderId="13" fillId="6" fontId="5" numFmtId="0" xfId="0" applyAlignment="1" applyBorder="1" applyFill="1" applyFont="1">
      <alignment horizontal="left" readingOrder="0" textRotation="180" vertical="top"/>
    </xf>
    <xf borderId="18" fillId="7" fontId="5" numFmtId="0" xfId="0" applyAlignment="1" applyBorder="1" applyFill="1" applyFont="1">
      <alignment horizontal="left" readingOrder="0" textRotation="180" vertical="top"/>
    </xf>
    <xf borderId="16" fillId="8" fontId="5" numFmtId="0" xfId="0" applyAlignment="1" applyBorder="1" applyFill="1" applyFont="1">
      <alignment horizontal="left" readingOrder="0" textRotation="180" vertical="top"/>
    </xf>
    <xf borderId="18" fillId="9" fontId="5" numFmtId="0" xfId="0" applyAlignment="1" applyBorder="1" applyFill="1" applyFont="1">
      <alignment horizontal="left" readingOrder="0" textRotation="180" vertical="top"/>
    </xf>
    <xf borderId="16" fillId="6" fontId="5" numFmtId="0" xfId="0" applyAlignment="1" applyBorder="1" applyFill="1" applyFont="1">
      <alignment horizontal="left" readingOrder="0" textRotation="180" vertical="top"/>
    </xf>
    <xf borderId="19" fillId="5" fontId="5" numFmtId="0" xfId="0" applyAlignment="1" applyBorder="1" applyFill="1" applyFont="1">
      <alignment horizontal="left" readingOrder="0" textRotation="180" vertical="top"/>
    </xf>
    <xf borderId="16" fillId="10" fontId="5" numFmtId="0" xfId="0" applyAlignment="1" applyBorder="1" applyFill="1" applyFont="1">
      <alignment horizontal="left" readingOrder="0" textRotation="180" vertical="top"/>
    </xf>
    <xf borderId="13" fillId="11" fontId="5" numFmtId="0" xfId="0" applyAlignment="1" applyBorder="1" applyFill="1" applyFont="1">
      <alignment horizontal="left" readingOrder="0" textRotation="180" vertical="top"/>
    </xf>
    <xf borderId="19" fillId="12" fontId="5" numFmtId="0" xfId="0" applyAlignment="1" applyBorder="1" applyFill="1" applyFont="1">
      <alignment horizontal="left" readingOrder="0" textRotation="180" vertical="top"/>
    </xf>
    <xf borderId="13" fillId="13" fontId="5" numFmtId="0" xfId="0" applyAlignment="1" applyBorder="1" applyFill="1" applyFont="1">
      <alignment horizontal="left" readingOrder="0" textRotation="180" vertical="top"/>
    </xf>
    <xf borderId="16" fillId="4" fontId="5" numFmtId="0" xfId="0" applyAlignment="1" applyBorder="1" applyFill="1" applyFont="1">
      <alignment horizontal="left" readingOrder="0" textRotation="180" vertical="top"/>
    </xf>
    <xf borderId="13" fillId="14" fontId="5" numFmtId="0" xfId="0" applyAlignment="1" applyBorder="1" applyFill="1" applyFont="1">
      <alignment horizontal="left" readingOrder="0" textRotation="180" vertical="top"/>
    </xf>
    <xf borderId="18" fillId="16" fontId="5" numFmtId="0" xfId="0" applyAlignment="1" applyBorder="1" applyFill="1" applyFont="1">
      <alignment horizontal="left" readingOrder="0" textRotation="180" vertical="top"/>
    </xf>
    <xf borderId="14" fillId="17" fontId="5" numFmtId="0" xfId="0" applyAlignment="1" applyBorder="1" applyFill="1" applyFont="1">
      <alignment horizontal="left" readingOrder="0" textRotation="180" vertical="top"/>
    </xf>
    <xf borderId="9" fillId="6" fontId="5" numFmtId="0" xfId="0" applyAlignment="1" applyBorder="1" applyFill="1" applyFont="1">
      <alignment horizontal="left" readingOrder="0" textRotation="180" vertical="top"/>
    </xf>
    <xf borderId="10" fillId="4" fontId="5" numFmtId="0" xfId="0" applyAlignment="1" applyBorder="1" applyFill="1" applyFont="1">
      <alignment horizontal="left" readingOrder="0" textRotation="180" vertical="top"/>
    </xf>
    <xf borderId="16" fillId="16" fontId="5" numFmtId="0" xfId="0" applyAlignment="1" applyBorder="1" applyFill="1" applyFont="1">
      <alignment horizontal="left" readingOrder="0" textRotation="180" vertical="top"/>
    </xf>
    <xf borderId="13" fillId="16" fontId="5" numFmtId="0" xfId="0" applyAlignment="1" applyBorder="1" applyFill="1" applyFont="1">
      <alignment horizontal="left" readingOrder="0" textRotation="180" vertical="top"/>
    </xf>
    <xf borderId="13" fillId="19" fontId="5" numFmtId="0" xfId="0" applyAlignment="1" applyBorder="1" applyFill="1" applyFont="1">
      <alignment horizontal="left" readingOrder="0" textRotation="180" vertical="top"/>
    </xf>
    <xf borderId="13" fillId="18" fontId="5" numFmtId="0" xfId="0" applyAlignment="1" applyBorder="1" applyFill="1" applyFont="1">
      <alignment horizontal="left" readingOrder="0" textRotation="180" vertical="top"/>
    </xf>
    <xf borderId="13" fillId="21" fontId="5" numFmtId="0" xfId="0" applyAlignment="1" applyBorder="1" applyFill="1" applyFont="1">
      <alignment horizontal="left" readingOrder="0" textRotation="180" vertical="top"/>
    </xf>
    <xf borderId="16" fillId="20" fontId="5" numFmtId="0" xfId="0" applyAlignment="1" applyBorder="1" applyFill="1" applyFont="1">
      <alignment horizontal="left" readingOrder="0" textRotation="180" vertical="top"/>
    </xf>
    <xf borderId="18" fillId="22" fontId="5" numFmtId="0" xfId="0" applyAlignment="1" applyBorder="1" applyFill="1" applyFont="1">
      <alignment horizontal="left" readingOrder="0" textRotation="180" vertical="top"/>
    </xf>
    <xf borderId="14" fillId="8" fontId="5" numFmtId="0" xfId="0" applyAlignment="1" applyBorder="1" applyFill="1" applyFont="1">
      <alignment horizontal="left" readingOrder="0" textRotation="180" vertical="top"/>
    </xf>
    <xf borderId="16" fillId="5" fontId="5" numFmtId="0" xfId="0" applyAlignment="1" applyBorder="1" applyFill="1" applyFont="1">
      <alignment horizontal="left" readingOrder="0" textRotation="180" vertical="top"/>
    </xf>
    <xf borderId="13" fillId="7" fontId="5" numFmtId="0" xfId="0" applyAlignment="1" applyBorder="1" applyFill="1" applyFont="1">
      <alignment horizontal="left" readingOrder="0" textRotation="180" vertical="top"/>
    </xf>
    <xf borderId="13" fillId="23" fontId="5" numFmtId="0" xfId="0" applyAlignment="1" applyBorder="1" applyFill="1" applyFont="1">
      <alignment horizontal="left" readingOrder="0" textRotation="180" vertical="top"/>
    </xf>
    <xf borderId="17" fillId="24" fontId="5" numFmtId="0" xfId="0" applyAlignment="1" applyBorder="1" applyFill="1" applyFont="1">
      <alignment horizontal="left" readingOrder="0" textRotation="180" vertical="top"/>
    </xf>
    <xf borderId="18" fillId="26" fontId="5" numFmtId="0" xfId="0" applyAlignment="1" applyBorder="1" applyFill="1" applyFont="1">
      <alignment horizontal="left" readingOrder="0" textRotation="180" vertical="top"/>
    </xf>
    <xf borderId="16" fillId="27" fontId="5" numFmtId="0" xfId="0" applyAlignment="1" applyBorder="1" applyFill="1" applyFont="1">
      <alignment horizontal="left" readingOrder="0" textRotation="180" vertical="top"/>
    </xf>
    <xf borderId="13" fillId="28" fontId="5" numFmtId="0" xfId="0" applyAlignment="1" applyBorder="1" applyFill="1" applyFont="1">
      <alignment horizontal="left" readingOrder="0" textRotation="180" vertical="top"/>
    </xf>
    <xf borderId="13" fillId="29" fontId="5" numFmtId="0" xfId="0" applyAlignment="1" applyBorder="1" applyFill="1" applyFont="1">
      <alignment horizontal="left" readingOrder="0" textRotation="180" vertical="top"/>
    </xf>
    <xf borderId="18" fillId="0" fontId="5" numFmtId="0" xfId="0" applyAlignment="1" applyBorder="1" applyFont="1">
      <alignment horizontal="left" readingOrder="0" textRotation="180" vertical="top"/>
    </xf>
    <xf borderId="20" fillId="25" fontId="5" numFmtId="0" xfId="0" applyAlignment="1" applyBorder="1" applyFill="1" applyFont="1">
      <alignment horizontal="left" readingOrder="0" textRotation="180" vertical="top"/>
    </xf>
    <xf borderId="9" fillId="0" fontId="5" numFmtId="0" xfId="0" applyAlignment="1" applyBorder="1" applyFont="1">
      <alignment horizontal="left" readingOrder="0" textRotation="180" vertical="top"/>
    </xf>
    <xf borderId="10" fillId="0" fontId="5" numFmtId="0" xfId="0" applyAlignment="1" applyBorder="1" applyFont="1">
      <alignment horizontal="left" readingOrder="0" textRotation="180" vertical="top"/>
    </xf>
    <xf borderId="13" fillId="17" fontId="5" numFmtId="0" xfId="0" applyAlignment="1" applyBorder="1" applyFill="1" applyFont="1">
      <alignment horizontal="left" readingOrder="0" textRotation="180" vertical="top"/>
    </xf>
    <xf borderId="18" fillId="6" fontId="5" numFmtId="0" xfId="0" applyAlignment="1" applyBorder="1" applyFill="1" applyFont="1">
      <alignment horizontal="left" readingOrder="0" textRotation="180" vertical="top"/>
    </xf>
    <xf borderId="1" fillId="0" fontId="8" numFmtId="0" xfId="0" applyAlignment="1" applyBorder="1" applyFont="1">
      <alignment textRotation="180" vertical="top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horizontal="center" readingOrder="0"/>
    </xf>
    <xf borderId="21" fillId="15" fontId="4" numFmtId="0" xfId="0" applyAlignment="1" applyBorder="1" applyFill="1" applyFont="1">
      <alignment vertical="bottom"/>
    </xf>
    <xf borderId="0" fillId="3" fontId="5" numFmtId="0" xfId="0" applyAlignment="1" applyFill="1" applyFont="1">
      <alignment horizontal="center"/>
    </xf>
    <xf borderId="22" fillId="6" fontId="5" numFmtId="0" xfId="0" applyAlignment="1" applyBorder="1" applyFill="1" applyFont="1">
      <alignment horizontal="center"/>
    </xf>
    <xf borderId="11" fillId="6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5" fontId="5" numFmtId="0" xfId="0" applyAlignment="1" applyFill="1" applyFont="1">
      <alignment horizontal="center" readingOrder="0"/>
    </xf>
    <xf borderId="0" fillId="5" fontId="5" numFmtId="1" xfId="0" applyAlignment="1" applyFill="1" applyFont="1" applyNumberFormat="1">
      <alignment horizontal="center" readingOrder="0"/>
    </xf>
    <xf borderId="0" fillId="5" fontId="5" numFmtId="0" xfId="0" applyAlignment="1" applyFill="1" applyFont="1">
      <alignment horizontal="center"/>
    </xf>
    <xf borderId="5" fillId="25" fontId="9" numFmtId="0" xfId="0" applyAlignment="1" applyBorder="1" applyFill="1" applyFont="1">
      <alignment horizontal="center"/>
    </xf>
    <xf borderId="0" fillId="6" fontId="9" numFmtId="0" xfId="0" applyAlignment="1" applyFill="1" applyFont="1">
      <alignment horizontal="center"/>
    </xf>
    <xf borderId="5" fillId="15" fontId="4" numFmtId="0" xfId="0" applyAlignment="1" applyBorder="1" applyFill="1" applyFont="1">
      <alignment vertical="bottom"/>
    </xf>
    <xf borderId="0" fillId="7" fontId="5" numFmtId="0" xfId="0" applyAlignment="1" applyFill="1" applyFont="1">
      <alignment readingOrder="0"/>
    </xf>
    <xf borderId="5" fillId="15" fontId="4" numFmtId="0" xfId="0" applyAlignment="1" applyBorder="1" applyFill="1" applyFont="1">
      <alignment readingOrder="0" vertical="bottom"/>
    </xf>
    <xf borderId="5" fillId="30" fontId="4" numFmtId="0" xfId="0" applyAlignment="1" applyBorder="1" applyFill="1" applyFont="1">
      <alignment horizontal="center" readingOrder="0" vertical="bottom"/>
    </xf>
    <xf borderId="5" fillId="15" fontId="4" numFmtId="0" xfId="0" applyAlignment="1" applyBorder="1" applyFill="1" applyFont="1">
      <alignment vertical="bottom"/>
    </xf>
    <xf borderId="0" fillId="14" fontId="5" numFmtId="0" xfId="0" applyAlignment="1" applyFill="1" applyFont="1">
      <alignment readingOrder="0"/>
    </xf>
    <xf borderId="5" fillId="30" fontId="4" numFmtId="0" xfId="0" applyAlignment="1" applyBorder="1" applyFill="1" applyFont="1">
      <alignment horizontal="center" vertical="bottom"/>
    </xf>
    <xf borderId="0" fillId="17" fontId="5" numFmtId="0" xfId="0" applyAlignment="1" applyFill="1" applyFont="1">
      <alignment readingOrder="0"/>
    </xf>
    <xf borderId="0" fillId="20" fontId="5" numFmtId="0" xfId="0" applyAlignment="1" applyFill="1" applyFont="1">
      <alignment readingOrder="0"/>
    </xf>
    <xf borderId="0" fillId="16" fontId="5" numFmtId="0" xfId="0" applyAlignment="1" applyFill="1" applyFont="1">
      <alignment readingOrder="0"/>
    </xf>
    <xf borderId="0" fillId="31" fontId="5" numFmtId="0" xfId="0" applyAlignment="1" applyFill="1" applyFont="1">
      <alignment readingOrder="0"/>
    </xf>
    <xf borderId="0" fillId="31" fontId="10" numFmtId="0" xfId="0" applyAlignment="1" applyFill="1" applyFont="1">
      <alignment horizontal="lef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CCCCCC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2" pivot="0" name="Forge Componen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EL75" displayName="Table_1" name="Table_1" id="1">
  <tableColumns count="1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</tableColumns>
  <tableStyleInfo name="Forge Component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30.0"/>
    <col customWidth="1" hidden="1" min="2" max="2" width="6.13"/>
    <col customWidth="1" min="3" max="7" width="3.75"/>
    <col customWidth="1" hidden="1" min="8" max="10" width="3.75"/>
    <col customWidth="1" min="11" max="11" width="8.75"/>
    <col customWidth="1" min="12" max="12" width="8.5"/>
    <col customWidth="1" min="13" max="13" width="8.38"/>
    <col customWidth="1" min="14" max="55" width="3.75"/>
    <col customWidth="1" hidden="1" min="56" max="56" width="3.5"/>
    <col customWidth="1" hidden="1" min="57" max="57" width="5.25"/>
    <col customWidth="1" hidden="1" min="58" max="142" width="2.38"/>
  </cols>
  <sheetData>
    <row r="1">
      <c r="A1" s="20" t="s">
        <v>14</v>
      </c>
      <c r="B1" s="22"/>
      <c r="C1" s="26" t="b">
        <v>0</v>
      </c>
      <c r="D1" s="29" t="s">
        <v>22</v>
      </c>
      <c r="H1" s="31"/>
      <c r="I1" s="31"/>
      <c r="J1" s="33"/>
      <c r="K1" s="35"/>
      <c r="L1" s="35" t="b">
        <v>0</v>
      </c>
      <c r="M1" s="35" t="b">
        <v>0</v>
      </c>
      <c r="N1" s="33"/>
      <c r="O1" s="35" t="b">
        <v>0</v>
      </c>
      <c r="P1" s="35" t="b">
        <v>0</v>
      </c>
      <c r="Q1" s="35" t="b">
        <v>0</v>
      </c>
      <c r="R1" s="35" t="b">
        <v>0</v>
      </c>
      <c r="S1" s="35" t="b">
        <v>0</v>
      </c>
      <c r="T1" s="35" t="b">
        <v>0</v>
      </c>
      <c r="U1" s="35" t="b">
        <v>0</v>
      </c>
      <c r="V1" s="33" t="b">
        <v>0</v>
      </c>
      <c r="W1" s="33" t="b">
        <v>0</v>
      </c>
      <c r="X1" s="35" t="b">
        <v>0</v>
      </c>
      <c r="Y1" s="33" t="b">
        <v>0</v>
      </c>
      <c r="Z1" s="35" t="b">
        <v>0</v>
      </c>
      <c r="AA1" s="35" t="b">
        <v>0</v>
      </c>
      <c r="AB1" s="33" t="b">
        <v>0</v>
      </c>
      <c r="AC1" s="35" t="b">
        <v>0</v>
      </c>
      <c r="AD1" s="35" t="b">
        <v>0</v>
      </c>
      <c r="AE1" s="33" t="b">
        <v>0</v>
      </c>
      <c r="AF1" s="35" t="b">
        <v>0</v>
      </c>
      <c r="AG1" s="35" t="b">
        <v>0</v>
      </c>
      <c r="AH1" s="33" t="b">
        <v>0</v>
      </c>
      <c r="AI1" s="35" t="b">
        <v>0</v>
      </c>
      <c r="AJ1" s="33" t="b">
        <v>0</v>
      </c>
      <c r="AK1" s="33" t="b">
        <v>0</v>
      </c>
      <c r="AL1" s="33" t="b">
        <v>0</v>
      </c>
      <c r="AM1" s="33" t="b">
        <v>0</v>
      </c>
      <c r="AN1" s="33" t="b">
        <v>0</v>
      </c>
      <c r="AO1" s="33" t="b">
        <v>0</v>
      </c>
      <c r="AP1" s="35" t="b">
        <v>0</v>
      </c>
      <c r="AQ1" s="35" t="b">
        <v>0</v>
      </c>
      <c r="AR1" s="35" t="b">
        <v>0</v>
      </c>
      <c r="AS1" s="35" t="b">
        <v>0</v>
      </c>
      <c r="AT1" s="33" t="b">
        <v>0</v>
      </c>
      <c r="AU1" s="33" t="b">
        <v>0</v>
      </c>
      <c r="AV1" s="35" t="b">
        <v>0</v>
      </c>
      <c r="AW1" s="35" t="b">
        <v>0</v>
      </c>
      <c r="AX1" s="35" t="b">
        <v>0</v>
      </c>
      <c r="AY1" s="35" t="b">
        <v>0</v>
      </c>
      <c r="AZ1" s="35" t="b">
        <v>0</v>
      </c>
      <c r="BA1" s="35" t="b">
        <v>0</v>
      </c>
      <c r="BB1" s="35" t="b">
        <v>0</v>
      </c>
      <c r="BC1" s="35" t="b">
        <v>0</v>
      </c>
      <c r="BD1" s="44"/>
      <c r="BE1" s="31"/>
      <c r="BF1" s="46"/>
      <c r="BG1" s="46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</row>
    <row r="2">
      <c r="A2" s="51" t="s">
        <v>43</v>
      </c>
      <c r="B2" s="53"/>
      <c r="C2" s="54" t="b">
        <v>1</v>
      </c>
      <c r="D2" s="56" t="s">
        <v>46</v>
      </c>
      <c r="E2" s="57"/>
      <c r="F2" s="57"/>
      <c r="G2" s="57"/>
      <c r="H2" s="58"/>
      <c r="I2" s="58"/>
      <c r="J2" s="59"/>
      <c r="K2" s="59">
        <f>SUM(J11:J75)</f>
        <v>6869</v>
      </c>
      <c r="L2" s="60">
        <f>SUM(BE5:BE75)</f>
        <v>27900</v>
      </c>
      <c r="M2" s="59">
        <f>MAX(BF5:BF75)</f>
        <v>3000</v>
      </c>
      <c r="N2" s="61"/>
      <c r="O2" s="62">
        <f t="shared" ref="O2:AA2" si="1">SUM(BH5:BH75)</f>
        <v>32</v>
      </c>
      <c r="P2" s="62">
        <f t="shared" si="1"/>
        <v>45</v>
      </c>
      <c r="Q2" s="62">
        <f t="shared" si="1"/>
        <v>4</v>
      </c>
      <c r="R2" s="62">
        <f t="shared" si="1"/>
        <v>0</v>
      </c>
      <c r="S2" s="62">
        <f t="shared" si="1"/>
        <v>35</v>
      </c>
      <c r="T2" s="62">
        <f t="shared" si="1"/>
        <v>22</v>
      </c>
      <c r="U2" s="62">
        <f t="shared" si="1"/>
        <v>26</v>
      </c>
      <c r="V2" s="62">
        <f t="shared" si="1"/>
        <v>0</v>
      </c>
      <c r="W2" s="62">
        <f t="shared" si="1"/>
        <v>0</v>
      </c>
      <c r="X2" s="62">
        <f t="shared" si="1"/>
        <v>10</v>
      </c>
      <c r="Y2" s="62">
        <f t="shared" si="1"/>
        <v>0</v>
      </c>
      <c r="Z2" s="62">
        <f t="shared" si="1"/>
        <v>15</v>
      </c>
      <c r="AA2" s="62">
        <f t="shared" si="1"/>
        <v>60</v>
      </c>
      <c r="AB2" s="62">
        <f>SUM(BV5:BV75)</f>
        <v>0</v>
      </c>
      <c r="AC2" s="62">
        <f>SUM(BU5:BU75)</f>
        <v>6</v>
      </c>
      <c r="AD2" s="62">
        <f t="shared" ref="AD2:AE2" si="2">SUM(BW5:BW75)</f>
        <v>4</v>
      </c>
      <c r="AE2" s="62">
        <f t="shared" si="2"/>
        <v>0</v>
      </c>
      <c r="AF2" s="62">
        <f>SUM(BZ5:BZ75)</f>
        <v>4</v>
      </c>
      <c r="AG2" s="62">
        <f>SUM(CB5:CB75)</f>
        <v>10</v>
      </c>
      <c r="AH2" s="62">
        <f>SUM(CA5:CA75)</f>
        <v>3</v>
      </c>
      <c r="AI2" s="62">
        <f>SUM(BY5:BY75)</f>
        <v>0</v>
      </c>
      <c r="AJ2" s="62">
        <f>SUM(CC5:CC75)</f>
        <v>0</v>
      </c>
      <c r="AK2" s="62">
        <f>SUM(CF5:CF75)</f>
        <v>0</v>
      </c>
      <c r="AL2" s="62">
        <f>SUM(CE5:CE75)</f>
        <v>7</v>
      </c>
      <c r="AM2" s="62">
        <f>SUM(CD5:CD75)</f>
        <v>0</v>
      </c>
      <c r="AN2" s="62">
        <f>SUM(CG5:CG75)</f>
        <v>0</v>
      </c>
      <c r="AO2" s="62">
        <f>SUM(CJ5:CJ75)</f>
        <v>0</v>
      </c>
      <c r="AP2" s="62">
        <f>SUM(CI5:CI75)</f>
        <v>0</v>
      </c>
      <c r="AQ2" s="62">
        <f>SUM(CH5:CH75)</f>
        <v>0</v>
      </c>
      <c r="AR2" s="62">
        <f t="shared" ref="AR2:BC2" si="3">SUM(CK5:CK75)</f>
        <v>24</v>
      </c>
      <c r="AS2" s="62">
        <f t="shared" si="3"/>
        <v>1</v>
      </c>
      <c r="AT2" s="62">
        <f t="shared" si="3"/>
        <v>0</v>
      </c>
      <c r="AU2" s="62">
        <f t="shared" si="3"/>
        <v>0</v>
      </c>
      <c r="AV2" s="62">
        <f t="shared" si="3"/>
        <v>45</v>
      </c>
      <c r="AW2" s="62">
        <f t="shared" si="3"/>
        <v>48</v>
      </c>
      <c r="AX2" s="62">
        <f t="shared" si="3"/>
        <v>24</v>
      </c>
      <c r="AY2" s="62">
        <f t="shared" si="3"/>
        <v>40</v>
      </c>
      <c r="AZ2" s="62">
        <f t="shared" si="3"/>
        <v>20</v>
      </c>
      <c r="BA2" s="62">
        <f t="shared" si="3"/>
        <v>24</v>
      </c>
      <c r="BB2" s="62">
        <f t="shared" si="3"/>
        <v>26</v>
      </c>
      <c r="BC2" s="63">
        <f t="shared" si="3"/>
        <v>139</v>
      </c>
      <c r="BD2" s="64"/>
      <c r="BE2" s="33"/>
      <c r="BF2" s="65"/>
      <c r="BG2" s="65"/>
      <c r="BH2" s="66">
        <f>VLOOKUP(BH4,'Price Data'!$A:$B,2,FALSE)</f>
        <v>4</v>
      </c>
      <c r="BI2" s="66">
        <f>VLOOKUP(BI4,'Price Data'!$A:$B,2,FALSE)</f>
        <v>3</v>
      </c>
      <c r="BJ2" s="66">
        <f>VLOOKUP(BJ4,'Price Data'!$A:$B,2,FALSE)</f>
        <v>10</v>
      </c>
      <c r="BK2" s="66">
        <f>VLOOKUP(BK4,'Price Data'!$A:$B,2,FALSE)</f>
        <v>5</v>
      </c>
      <c r="BL2" s="66">
        <f>VLOOKUP(BL4,'Price Data'!$A:$B,2,FALSE)</f>
        <v>50</v>
      </c>
      <c r="BM2" s="66">
        <f>VLOOKUP(BM4,'Price Data'!$A:$B,2,FALSE)</f>
        <v>60</v>
      </c>
      <c r="BN2" s="66">
        <f>VLOOKUP(BN4,'Price Data'!$A:$B,2,FALSE)</f>
        <v>60</v>
      </c>
      <c r="BO2" s="66">
        <f>VLOOKUP(BO4,'Price Data'!$A:$B,2,FALSE)</f>
        <v>70</v>
      </c>
      <c r="BP2" s="66">
        <f>VLOOKUP(BP4,'Price Data'!$A:$B,2,FALSE)</f>
        <v>1</v>
      </c>
      <c r="BQ2" s="66">
        <f>VLOOKUP(BQ4,'Price Data'!$A:$B,2,FALSE)</f>
        <v>2</v>
      </c>
      <c r="BR2" s="66">
        <f>VLOOKUP(BR4,'Price Data'!$A:$B,2,FALSE)</f>
        <v>3</v>
      </c>
      <c r="BS2" s="66">
        <f>VLOOKUP(BS4,'Price Data'!$A:$B,2,FALSE)</f>
        <v>3</v>
      </c>
      <c r="BT2" s="66">
        <f>VLOOKUP(BT4,'Price Data'!$A:$B,2,FALSE)</f>
        <v>3</v>
      </c>
      <c r="BU2" s="66">
        <f>VLOOKUP(BU4,'Price Data'!$A:$B,2,FALSE)</f>
        <v>30</v>
      </c>
      <c r="BV2" s="66">
        <f>VLOOKUP(BV4,'Price Data'!$A:$B,2,FALSE)</f>
        <v>30</v>
      </c>
      <c r="BW2" s="66">
        <f>VLOOKUP(BW4,'Price Data'!$A:$B,2,FALSE)</f>
        <v>30</v>
      </c>
      <c r="BX2" s="66">
        <f>VLOOKUP(BX4,'Price Data'!$A:$B,2,FALSE)</f>
        <v>35</v>
      </c>
      <c r="BY2" s="66">
        <f>VLOOKUP(BY4,'Price Data'!$A:$B,2,FALSE)</f>
        <v>30</v>
      </c>
      <c r="BZ2" s="66">
        <f>VLOOKUP(BZ4,'Price Data'!$A:$B,2,FALSE)</f>
        <v>40</v>
      </c>
      <c r="CA2" s="66">
        <f>VLOOKUP(CA4,'Price Data'!$A:$B,2,FALSE)</f>
        <v>35</v>
      </c>
      <c r="CB2" s="66">
        <f>VLOOKUP(CB4,'Price Data'!$A:$B,2,FALSE)</f>
        <v>40</v>
      </c>
      <c r="CC2" s="66">
        <f>VLOOKUP(CC4,'Price Data'!$A:$B,2,FALSE)</f>
        <v>400</v>
      </c>
      <c r="CD2" s="66">
        <f>VLOOKUP(CD4,'Price Data'!$A:$B,2,FALSE)</f>
        <v>250</v>
      </c>
      <c r="CE2" s="66">
        <f>VLOOKUP(CE4,'Price Data'!$A:$B,2,FALSE)</f>
        <v>1000</v>
      </c>
      <c r="CF2" s="66">
        <f>VLOOKUP(CF4,'Price Data'!$A:$B,2,FALSE)</f>
        <v>150</v>
      </c>
      <c r="CG2" s="66">
        <f>VLOOKUP(CG4,'Price Data'!$A:$B,2,FALSE)</f>
        <v>6000</v>
      </c>
      <c r="CH2" s="66">
        <f>VLOOKUP(CH4,'Price Data'!$A:$B,2,FALSE)</f>
        <v>30</v>
      </c>
      <c r="CI2" s="66">
        <f>VLOOKUP(CI4,'Price Data'!$A:$B,2,FALSE)</f>
        <v>60</v>
      </c>
      <c r="CJ2" s="66">
        <f>VLOOKUP(CJ4,'Price Data'!$A:$B,2,FALSE)</f>
        <v>10</v>
      </c>
      <c r="CK2" s="66">
        <f>VLOOKUP(CK4,'Price Data'!$A:$B,2,FALSE)</f>
        <v>15</v>
      </c>
      <c r="CL2" s="66">
        <f>VLOOKUP(CL4,'Price Data'!$A:$B,2,FALSE)</f>
        <v>2</v>
      </c>
      <c r="CM2" s="66">
        <f>VLOOKUP(CM4,'Price Data'!$A:$B,2,FALSE)</f>
        <v>8</v>
      </c>
      <c r="CN2" s="66">
        <f>VLOOKUP(CN4,'Price Data'!$A:$B,2,FALSE)</f>
        <v>5</v>
      </c>
      <c r="CO2" s="66">
        <f>VLOOKUP(CO4,'Price Data'!$A:$B,2,FALSE)</f>
        <v>6</v>
      </c>
      <c r="CP2" s="66">
        <f>VLOOKUP(CP4,'Price Data'!$A:$B,2,FALSE)</f>
        <v>20</v>
      </c>
      <c r="CQ2" s="66">
        <f>VLOOKUP(CQ4,'Price Data'!$A:$B,2,FALSE)</f>
        <v>4</v>
      </c>
      <c r="CR2" s="66">
        <f>VLOOKUP(CR4,'Price Data'!$A:$B,2,FALSE)</f>
        <v>35</v>
      </c>
      <c r="CS2" s="66">
        <f>VLOOKUP(CS4,'Price Data'!$A:$B,2,FALSE)</f>
        <v>90</v>
      </c>
      <c r="CT2" s="67">
        <f>VLOOKUP(CT4,'Price Data'!$A:$B,2,FALSE)</f>
        <v>4</v>
      </c>
      <c r="CU2" s="66">
        <f>VLOOKUP(CU4,'Price Data'!$A:$B,2,FALSE)</f>
        <v>1</v>
      </c>
      <c r="CV2" s="66">
        <f>VLOOKUP(CV4,'Price Data'!$A:$B,2,FALSE)</f>
        <v>4</v>
      </c>
      <c r="CW2" s="67"/>
      <c r="CX2" s="68" t="s">
        <v>47</v>
      </c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</row>
    <row r="3">
      <c r="A3" s="69" t="str">
        <f>HYPERLINK("https://docs.google.com/spreadsheets/d/1Uy3IweykzeGsWOpNRR6Yx1TO4Y8c5qMbYHTlwK4BR8I/", "Forge Boon List")</f>
        <v>Forge Boon List</v>
      </c>
      <c r="B3" s="70"/>
      <c r="C3" s="71"/>
      <c r="D3" s="71"/>
      <c r="E3" s="72"/>
      <c r="F3" s="73"/>
      <c r="G3" s="73"/>
      <c r="H3" s="71"/>
      <c r="I3" s="71"/>
      <c r="J3" s="74"/>
      <c r="K3" s="74"/>
      <c r="L3" s="74"/>
      <c r="M3" s="70"/>
      <c r="N3" s="70"/>
      <c r="O3" s="75" t="str">
        <f>IFERROR(__xludf.DUMMYFUNCTION("IMAGE(CONCATENATE(""http://mayumi.fi/boundless/"",REGEXREPLACE(LOWER(O4),""\s"", ""%20""),"".png""),1)"),"#REF!")</f>
        <v>#REF!</v>
      </c>
      <c r="P3" s="76" t="str">
        <f>IFERROR(__xludf.DUMMYFUNCTION("IMAGE(CONCATENATE(""http://mayumi.fi/boundless/"",REGEXREPLACE(LOWER(P4),""\s"", ""%20""),"".png""),1)"),"#REF!")</f>
        <v>#REF!</v>
      </c>
      <c r="Q3" s="76" t="str">
        <f>IFERROR(__xludf.DUMMYFUNCTION("IMAGE(CONCATENATE(""http://mayumi.fi/boundless/"",REGEXREPLACE(LOWER(Q4),""\s"", ""%20""),"".png""),1)"),"#REF!")</f>
        <v>#REF!</v>
      </c>
      <c r="R3" s="76" t="str">
        <f>IFERROR(__xludf.DUMMYFUNCTION("IMAGE(CONCATENATE(""http://mayumi.fi/boundless/"",REGEXREPLACE(LOWER(R4),""\s"", ""%20""),"".png""),1)"),"#REF!")</f>
        <v>#REF!</v>
      </c>
      <c r="S3" s="76" t="str">
        <f>IFERROR(__xludf.DUMMYFUNCTION("IMAGE(CONCATENATE(""http://mayumi.fi/boundless/"",REGEXREPLACE(LOWER(S4),""\s"", ""%20""),"".png""),1)"),"#REF!")</f>
        <v>#REF!</v>
      </c>
      <c r="T3" s="76" t="str">
        <f>IFERROR(__xludf.DUMMYFUNCTION("IMAGE(CONCATENATE(""http://mayumi.fi/boundless/"",REGEXREPLACE(LOWER(T4),""\s"", ""%20""),"".png""),1)"),"#REF!")</f>
        <v>#REF!</v>
      </c>
      <c r="U3" s="76" t="str">
        <f>IFERROR(__xludf.DUMMYFUNCTION("IMAGE(CONCATENATE(""http://mayumi.fi/boundless/"",REGEXREPLACE(LOWER(U4),""\s"", ""%20""),"".png""),1)"),"#REF!")</f>
        <v>#REF!</v>
      </c>
      <c r="V3" s="76" t="str">
        <f>IFERROR(__xludf.DUMMYFUNCTION("IMAGE(CONCATENATE(""http://mayumi.fi/boundless/"",REGEXREPLACE(LOWER(V4),""\s"", ""%20""),"".png""),1)"),"#REF!")</f>
        <v>#REF!</v>
      </c>
      <c r="W3" s="76" t="str">
        <f>IFERROR(__xludf.DUMMYFUNCTION("IMAGE(CONCATENATE(""http://mayumi.fi/boundless/"",REGEXREPLACE(LOWER(W4),""\s"", ""%20""),"".png""),1)"),"#REF!")</f>
        <v>#REF!</v>
      </c>
      <c r="X3" s="76" t="str">
        <f>IFERROR(__xludf.DUMMYFUNCTION("IMAGE(CONCATENATE(""http://mayumi.fi/boundless/"",REGEXREPLACE(LOWER(X4),""\s"", ""%20""),"".png""),1)"),"#REF!")</f>
        <v>#REF!</v>
      </c>
      <c r="Y3" s="76" t="str">
        <f>IFERROR(__xludf.DUMMYFUNCTION("IMAGE(CONCATENATE(""http://mayumi.fi/boundless/"",REGEXREPLACE(LOWER(Y4),""\s"", ""%20""),"".png""),1)"),"#REF!")</f>
        <v>#REF!</v>
      </c>
      <c r="Z3" s="76" t="str">
        <f>IFERROR(__xludf.DUMMYFUNCTION("IMAGE(CONCATENATE(""http://mayumi.fi/boundless/"",REGEXREPLACE(LOWER(Z4),""\s"", ""%20""),"".png""),1)"),"#REF!")</f>
        <v>#REF!</v>
      </c>
      <c r="AA3" s="76" t="str">
        <f>IFERROR(__xludf.DUMMYFUNCTION("IMAGE(CONCATENATE(""http://mayumi.fi/boundless/"",REGEXREPLACE(LOWER(AA4),""\s"", ""%20""),"".png""),1)"),"#REF!")</f>
        <v>#REF!</v>
      </c>
      <c r="AB3" s="76" t="str">
        <f>IFERROR(__xludf.DUMMYFUNCTION("IMAGE(CONCATENATE(""http://mayumi.fi/boundless/"",REGEXREPLACE(LOWER(AB4),""\s"", ""%20""),"".png""),1)"),"#REF!")</f>
        <v>#REF!</v>
      </c>
      <c r="AC3" s="76" t="str">
        <f>IFERROR(__xludf.DUMMYFUNCTION("IMAGE(CONCATENATE(""http://mayumi.fi/boundless/"",REGEXREPLACE(LOWER(AC4),""\s"", ""%20""),"".png""),1)"),"#REF!")</f>
        <v>#REF!</v>
      </c>
      <c r="AD3" s="76" t="str">
        <f>IFERROR(__xludf.DUMMYFUNCTION("IMAGE(CONCATENATE(""http://mayumi.fi/boundless/"",REGEXREPLACE(LOWER(AD4),""\s"", ""%20""),"".png""),1)"),"#REF!")</f>
        <v>#REF!</v>
      </c>
      <c r="AE3" s="76" t="str">
        <f>IFERROR(__xludf.DUMMYFUNCTION("IMAGE(CONCATENATE(""http://mayumi.fi/boundless/"",REGEXREPLACE(LOWER(AE4),""\s"", ""%20""),"".png""),1)"),"#REF!")</f>
        <v>#REF!</v>
      </c>
      <c r="AF3" s="76" t="str">
        <f>IFERROR(__xludf.DUMMYFUNCTION("IMAGE(CONCATENATE(""http://mayumi.fi/boundless/"",REGEXREPLACE(LOWER(AF4),""\s"", ""%20""),"".png""),1)"),"#REF!")</f>
        <v>#REF!</v>
      </c>
      <c r="AG3" s="76" t="str">
        <f>IFERROR(__xludf.DUMMYFUNCTION("IMAGE(CONCATENATE(""http://mayumi.fi/boundless/"",REGEXREPLACE(LOWER(AG4),""\s"", ""%20""),"".png""),1)"),"#REF!")</f>
        <v>#REF!</v>
      </c>
      <c r="AH3" s="76" t="str">
        <f>IFERROR(__xludf.DUMMYFUNCTION("IMAGE(CONCATENATE(""http://mayumi.fi/boundless/"",REGEXREPLACE(LOWER(AH4),""\s"", ""%20""),"".png""),1)"),"#REF!")</f>
        <v>#REF!</v>
      </c>
      <c r="AI3" s="76" t="str">
        <f>IFERROR(__xludf.DUMMYFUNCTION("IMAGE(CONCATENATE(""http://mayumi.fi/boundless/"",REGEXREPLACE(LOWER(AI4),""\s"", ""%20""),"".png""),1)"),"#REF!")</f>
        <v>#REF!</v>
      </c>
      <c r="AJ3" s="76" t="str">
        <f>IFERROR(__xludf.DUMMYFUNCTION("IMAGE(CONCATENATE(""http://mayumi.fi/boundless/"",REGEXREPLACE(LOWER(AJ4),""\s"", ""%20""),"".png""),1)"),"#REF!")</f>
        <v>#REF!</v>
      </c>
      <c r="AK3" s="76" t="str">
        <f>IFERROR(__xludf.DUMMYFUNCTION("IMAGE(CONCATENATE(""http://mayumi.fi/boundless/"",REGEXREPLACE(LOWER(AK4),""\s"", ""%20""),"".png""),1)"),"#REF!")</f>
        <v>#REF!</v>
      </c>
      <c r="AL3" s="76" t="str">
        <f>IFERROR(__xludf.DUMMYFUNCTION("IMAGE(CONCATENATE(""http://mayumi.fi/boundless/"",REGEXREPLACE(LOWER(AL4),""\s"", ""%20""),"".png""),1)"),"#REF!")</f>
        <v>#REF!</v>
      </c>
      <c r="AM3" s="76" t="str">
        <f>IFERROR(__xludf.DUMMYFUNCTION("IMAGE(CONCATENATE(""http://mayumi.fi/boundless/"",REGEXREPLACE(LOWER(AM4),""\s"", ""%20""),"".png""),1)"),"#REF!")</f>
        <v>#REF!</v>
      </c>
      <c r="AN3" s="76" t="str">
        <f>IFERROR(__xludf.DUMMYFUNCTION("IMAGE(CONCATENATE(""http://mayumi.fi/boundless/"",REGEXREPLACE(LOWER(AN4),""\s"", ""%20""),"".png""),1)"),"#REF!")</f>
        <v>#REF!</v>
      </c>
      <c r="AO3" s="76" t="str">
        <f>IFERROR(__xludf.DUMMYFUNCTION("IMAGE(CONCATENATE(""http://mayumi.fi/boundless/"",REGEXREPLACE(LOWER(AO4),""\s"", ""%20""),"".png""),1)"),"#REF!")</f>
        <v>#REF!</v>
      </c>
      <c r="AP3" s="76" t="str">
        <f>IFERROR(__xludf.DUMMYFUNCTION("IMAGE(CONCATENATE(""http://mayumi.fi/boundless/"",REGEXREPLACE(LOWER(AP4),""\s"", ""%20""),"".png""),1)"),"#REF!")</f>
        <v>#REF!</v>
      </c>
      <c r="AQ3" s="76" t="str">
        <f>IFERROR(__xludf.DUMMYFUNCTION("IMAGE(CONCATENATE(""http://mayumi.fi/boundless/"",REGEXREPLACE(LOWER(AQ4),""\s"", ""%20""),"".png""),1)"),"#REF!")</f>
        <v>#REF!</v>
      </c>
      <c r="AR3" s="76" t="str">
        <f>IFERROR(__xludf.DUMMYFUNCTION("IMAGE(CONCATENATE(""http://mayumi.fi/boundless/"",REGEXREPLACE(LOWER(AR4),""\s"", ""%20""),"".png""),1)"),"#REF!")</f>
        <v>#REF!</v>
      </c>
      <c r="AS3" s="76" t="str">
        <f>IFERROR(__xludf.DUMMYFUNCTION("IMAGE(CONCATENATE(""http://mayumi.fi/boundless/"",REGEXREPLACE(LOWER(AS4),""\s"", ""%20""),"".png""),1)"),"#REF!")</f>
        <v>#REF!</v>
      </c>
      <c r="AT3" s="76" t="str">
        <f>IFERROR(__xludf.DUMMYFUNCTION("IMAGE(CONCATENATE(""http://mayumi.fi/boundless/"",REGEXREPLACE(LOWER(AT4),""\s"", ""%20""),"".png""),1)"),"#REF!")</f>
        <v>#REF!</v>
      </c>
      <c r="AU3" s="76" t="str">
        <f>IFERROR(__xludf.DUMMYFUNCTION("IMAGE(CONCATENATE(""http://mayumi.fi/boundless/"",REGEXREPLACE(LOWER(AU4),""\s"", ""%20""),"".png""),1)"),"#REF!")</f>
        <v>#REF!</v>
      </c>
      <c r="AV3" s="76" t="str">
        <f>IFERROR(__xludf.DUMMYFUNCTION("IMAGE(CONCATENATE(""http://mayumi.fi/boundless/"",REGEXREPLACE(LOWER(AV4),""\s"", ""%20""),"".png""),1)"),"#REF!")</f>
        <v>#REF!</v>
      </c>
      <c r="AW3" s="76" t="str">
        <f>IFERROR(__xludf.DUMMYFUNCTION("IMAGE(CONCATENATE(""http://mayumi.fi/boundless/"",REGEXREPLACE(LOWER(AW4),""\s"", ""%20""),"".png""),1)"),"#REF!")</f>
        <v>#REF!</v>
      </c>
      <c r="AX3" s="76" t="str">
        <f>IFERROR(__xludf.DUMMYFUNCTION("IMAGE(CONCATENATE(""http://mayumi.fi/boundless/"",REGEXREPLACE(LOWER(AX4),""\s"", ""%20""),"".png""),1)"),"#REF!")</f>
        <v>#REF!</v>
      </c>
      <c r="AY3" s="76" t="str">
        <f>IFERROR(__xludf.DUMMYFUNCTION("IMAGE(CONCATENATE(""http://mayumi.fi/boundless/"",REGEXREPLACE(LOWER(AY4),""\s"", ""%20""),"".png""),1)"),"#REF!")</f>
        <v>#REF!</v>
      </c>
      <c r="AZ3" s="76" t="str">
        <f>IFERROR(__xludf.DUMMYFUNCTION("IMAGE(CONCATENATE(""http://mayumi.fi/boundless/"",REGEXREPLACE(LOWER(AZ4),""\s"", ""%20""),"".png""),1)"),"#REF!")</f>
        <v>#REF!</v>
      </c>
      <c r="BA3" s="76" t="str">
        <f>IFERROR(__xludf.DUMMYFUNCTION("IMAGE(CONCATENATE(""http://mayumi.fi/boundless/"",REGEXREPLACE(LOWER(BA4),""\s"", ""%20""),"".png""),1)"),"#REF!")</f>
        <v>#REF!</v>
      </c>
      <c r="BB3" s="76" t="str">
        <f>IFERROR(__xludf.DUMMYFUNCTION("IMAGE(CONCATENATE(""http://mayumi.fi/boundless/"",REGEXREPLACE(LOWER(BB4),""\s"", ""%20""),"".png""),1)"),"#REF!")</f>
        <v>#REF!</v>
      </c>
      <c r="BC3" s="77" t="str">
        <f>IFERROR(__xludf.DUMMYFUNCTION("IMAGE(CONCATENATE(""http://mayumi.fi/boundless/"",REGEXREPLACE(LOWER(BC4),""\s"", ""%20""),"".png""),1)"),"#REF!")</f>
        <v>#REF!</v>
      </c>
      <c r="BD3" s="78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</row>
    <row r="4">
      <c r="A4" s="80" t="str">
        <f>IMAGE("https://forum.playboundless.com/uploads/default/original/3X/2/8/28f5805d5bfa2bc60b86dfe550515ea80ccb02e2.png",4, 50, 50)</f>
        <v>#REF!</v>
      </c>
      <c r="B4" s="81" t="s">
        <v>48</v>
      </c>
      <c r="C4" s="81" t="s">
        <v>49</v>
      </c>
      <c r="D4" s="82" t="s">
        <v>50</v>
      </c>
      <c r="E4" s="83" t="s">
        <v>51</v>
      </c>
      <c r="F4" s="84" t="s">
        <v>52</v>
      </c>
      <c r="G4" s="81" t="s">
        <v>53</v>
      </c>
      <c r="H4" s="81" t="s">
        <v>54</v>
      </c>
      <c r="I4" s="81" t="s">
        <v>55</v>
      </c>
      <c r="J4" s="81"/>
      <c r="K4" s="85" t="s">
        <v>56</v>
      </c>
      <c r="L4" s="85" t="s">
        <v>57</v>
      </c>
      <c r="M4" s="86" t="s">
        <v>58</v>
      </c>
      <c r="N4" s="87" t="s">
        <v>59</v>
      </c>
      <c r="O4" s="88" t="s">
        <v>2</v>
      </c>
      <c r="P4" s="89" t="s">
        <v>3</v>
      </c>
      <c r="Q4" s="90" t="s">
        <v>4</v>
      </c>
      <c r="R4" s="91" t="s">
        <v>5</v>
      </c>
      <c r="S4" s="92" t="s">
        <v>6</v>
      </c>
      <c r="T4" s="93" t="s">
        <v>7</v>
      </c>
      <c r="U4" s="94" t="s">
        <v>8</v>
      </c>
      <c r="V4" s="95" t="s">
        <v>9</v>
      </c>
      <c r="W4" s="96" t="s">
        <v>10</v>
      </c>
      <c r="X4" s="97" t="s">
        <v>11</v>
      </c>
      <c r="Y4" s="98" t="s">
        <v>12</v>
      </c>
      <c r="Z4" s="99" t="s">
        <v>13</v>
      </c>
      <c r="AA4" s="100" t="s">
        <v>15</v>
      </c>
      <c r="AB4" s="101" t="s">
        <v>17</v>
      </c>
      <c r="AC4" s="102" t="s">
        <v>16</v>
      </c>
      <c r="AD4" s="103" t="s">
        <v>18</v>
      </c>
      <c r="AE4" s="104" t="s">
        <v>19</v>
      </c>
      <c r="AF4" s="105" t="s">
        <v>21</v>
      </c>
      <c r="AG4" s="106" t="s">
        <v>24</v>
      </c>
      <c r="AH4" s="91" t="s">
        <v>23</v>
      </c>
      <c r="AI4" s="107" t="s">
        <v>20</v>
      </c>
      <c r="AJ4" s="108" t="s">
        <v>25</v>
      </c>
      <c r="AK4" s="109" t="s">
        <v>28</v>
      </c>
      <c r="AL4" s="110" t="s">
        <v>27</v>
      </c>
      <c r="AM4" s="111" t="s">
        <v>26</v>
      </c>
      <c r="AN4" s="93" t="s">
        <v>29</v>
      </c>
      <c r="AO4" s="109" t="s">
        <v>32</v>
      </c>
      <c r="AP4" s="112" t="s">
        <v>31</v>
      </c>
      <c r="AQ4" s="113" t="s">
        <v>30</v>
      </c>
      <c r="AR4" s="114" t="s">
        <v>33</v>
      </c>
      <c r="AS4" s="115" t="s">
        <v>34</v>
      </c>
      <c r="AT4" s="116" t="s">
        <v>35</v>
      </c>
      <c r="AU4" s="117" t="s">
        <v>36</v>
      </c>
      <c r="AV4" s="118" t="s">
        <v>37</v>
      </c>
      <c r="AW4" s="119" t="s">
        <v>38</v>
      </c>
      <c r="AX4" s="120" t="s">
        <v>39</v>
      </c>
      <c r="AY4" s="121" t="s">
        <v>40</v>
      </c>
      <c r="AZ4" s="112" t="s">
        <v>41</v>
      </c>
      <c r="BA4" s="122" t="s">
        <v>42</v>
      </c>
      <c r="BB4" s="123" t="s">
        <v>44</v>
      </c>
      <c r="BC4" s="124" t="s">
        <v>45</v>
      </c>
      <c r="BD4" s="125"/>
      <c r="BE4" s="126" t="s">
        <v>57</v>
      </c>
      <c r="BF4" s="126" t="s">
        <v>58</v>
      </c>
      <c r="BG4" s="127" t="str">
        <f>N4</f>
        <v>Base</v>
      </c>
      <c r="BH4" s="88" t="s">
        <v>2</v>
      </c>
      <c r="BI4" s="89" t="s">
        <v>3</v>
      </c>
      <c r="BJ4" s="90" t="s">
        <v>4</v>
      </c>
      <c r="BK4" s="91" t="s">
        <v>5</v>
      </c>
      <c r="BL4" s="92" t="s">
        <v>6</v>
      </c>
      <c r="BM4" s="93" t="s">
        <v>7</v>
      </c>
      <c r="BN4" s="94" t="s">
        <v>8</v>
      </c>
      <c r="BO4" s="95" t="s">
        <v>9</v>
      </c>
      <c r="BP4" s="96" t="s">
        <v>10</v>
      </c>
      <c r="BQ4" s="97" t="s">
        <v>11</v>
      </c>
      <c r="BR4" s="98" t="s">
        <v>12</v>
      </c>
      <c r="BS4" s="99" t="s">
        <v>13</v>
      </c>
      <c r="BT4" s="100" t="s">
        <v>15</v>
      </c>
      <c r="BU4" s="102" t="s">
        <v>16</v>
      </c>
      <c r="BV4" s="101" t="s">
        <v>17</v>
      </c>
      <c r="BW4" s="103" t="s">
        <v>18</v>
      </c>
      <c r="BX4" s="104" t="s">
        <v>19</v>
      </c>
      <c r="BY4" s="102" t="s">
        <v>20</v>
      </c>
      <c r="BZ4" s="128" t="s">
        <v>21</v>
      </c>
      <c r="CA4" s="91" t="s">
        <v>23</v>
      </c>
      <c r="CB4" s="129" t="s">
        <v>24</v>
      </c>
      <c r="CC4" s="108" t="s">
        <v>25</v>
      </c>
      <c r="CD4" s="111" t="s">
        <v>26</v>
      </c>
      <c r="CE4" s="110" t="s">
        <v>27</v>
      </c>
      <c r="CF4" s="109" t="s">
        <v>28</v>
      </c>
      <c r="CG4" s="124" t="s">
        <v>29</v>
      </c>
      <c r="CH4" s="113" t="s">
        <v>30</v>
      </c>
      <c r="CI4" s="112" t="s">
        <v>31</v>
      </c>
      <c r="CJ4" s="109" t="s">
        <v>32</v>
      </c>
      <c r="CK4" s="114" t="s">
        <v>33</v>
      </c>
      <c r="CL4" s="115" t="s">
        <v>34</v>
      </c>
      <c r="CM4" s="116" t="s">
        <v>35</v>
      </c>
      <c r="CN4" s="117" t="s">
        <v>36</v>
      </c>
      <c r="CO4" s="118" t="s">
        <v>37</v>
      </c>
      <c r="CP4" s="119" t="s">
        <v>38</v>
      </c>
      <c r="CQ4" s="120" t="s">
        <v>39</v>
      </c>
      <c r="CR4" s="121" t="s">
        <v>40</v>
      </c>
      <c r="CS4" s="112" t="s">
        <v>41</v>
      </c>
      <c r="CT4" s="122" t="s">
        <v>42</v>
      </c>
      <c r="CU4" s="123" t="s">
        <v>44</v>
      </c>
      <c r="CV4" s="124" t="s">
        <v>45</v>
      </c>
      <c r="CW4" s="130"/>
      <c r="CX4" s="88" t="s">
        <v>2</v>
      </c>
      <c r="CY4" s="89" t="s">
        <v>3</v>
      </c>
      <c r="CZ4" s="90" t="s">
        <v>4</v>
      </c>
      <c r="DA4" s="91" t="s">
        <v>5</v>
      </c>
      <c r="DB4" s="92" t="s">
        <v>6</v>
      </c>
      <c r="DC4" s="93" t="s">
        <v>7</v>
      </c>
      <c r="DD4" s="94" t="s">
        <v>8</v>
      </c>
      <c r="DE4" s="95" t="s">
        <v>9</v>
      </c>
      <c r="DF4" s="96" t="s">
        <v>10</v>
      </c>
      <c r="DG4" s="97" t="s">
        <v>11</v>
      </c>
      <c r="DH4" s="98" t="s">
        <v>12</v>
      </c>
      <c r="DI4" s="99" t="s">
        <v>13</v>
      </c>
      <c r="DJ4" s="100" t="s">
        <v>15</v>
      </c>
      <c r="DK4" s="102" t="s">
        <v>16</v>
      </c>
      <c r="DL4" s="101" t="s">
        <v>17</v>
      </c>
      <c r="DM4" s="103" t="s">
        <v>18</v>
      </c>
      <c r="DN4" s="104" t="s">
        <v>19</v>
      </c>
      <c r="DO4" s="102" t="s">
        <v>20</v>
      </c>
      <c r="DP4" s="128" t="s">
        <v>21</v>
      </c>
      <c r="DQ4" s="91" t="s">
        <v>23</v>
      </c>
      <c r="DR4" s="129" t="s">
        <v>24</v>
      </c>
      <c r="DS4" s="108" t="s">
        <v>25</v>
      </c>
      <c r="DT4" s="111" t="s">
        <v>26</v>
      </c>
      <c r="DU4" s="110" t="s">
        <v>27</v>
      </c>
      <c r="DV4" s="109" t="s">
        <v>28</v>
      </c>
      <c r="DW4" s="124" t="s">
        <v>29</v>
      </c>
      <c r="DX4" s="113" t="s">
        <v>30</v>
      </c>
      <c r="DY4" s="112" t="s">
        <v>31</v>
      </c>
      <c r="DZ4" s="109" t="s">
        <v>32</v>
      </c>
      <c r="EA4" s="114" t="s">
        <v>33</v>
      </c>
      <c r="EB4" s="115" t="s">
        <v>34</v>
      </c>
      <c r="EC4" s="116" t="s">
        <v>35</v>
      </c>
      <c r="ED4" s="117" t="s">
        <v>36</v>
      </c>
      <c r="EE4" s="118" t="s">
        <v>37</v>
      </c>
      <c r="EF4" s="119" t="s">
        <v>38</v>
      </c>
      <c r="EG4" s="120" t="s">
        <v>39</v>
      </c>
      <c r="EH4" s="121" t="s">
        <v>40</v>
      </c>
      <c r="EI4" s="112" t="s">
        <v>41</v>
      </c>
      <c r="EJ4" s="122" t="s">
        <v>42</v>
      </c>
      <c r="EK4" s="123" t="s">
        <v>44</v>
      </c>
      <c r="EL4" s="124" t="s">
        <v>45</v>
      </c>
    </row>
    <row r="5">
      <c r="A5" s="131" t="s">
        <v>60</v>
      </c>
      <c r="B5" s="132">
        <f t="shared" ref="B5:B75" si="10">IF($C$2,SUMIF(I:I,A5,BG:BG),0)</f>
        <v>32</v>
      </c>
      <c r="C5" s="133"/>
      <c r="D5" s="134">
        <f t="shared" ref="D5:D75" si="11">C5+B5</f>
        <v>32</v>
      </c>
      <c r="E5" s="135">
        <f t="shared" ref="E5:E75" si="12">IF(ISBLANK(H5),0,IF($C$1,0,CEILING(D5-F5*H5*0.2-G5*H5,1)))</f>
        <v>2</v>
      </c>
      <c r="F5" s="132">
        <f t="shared" ref="F5:F75" si="13">IF(ISBLANK(H5),0,IF($C$1,0,FLOOR((D5-G5*H5)/(H5/5),1)))</f>
        <v>3</v>
      </c>
      <c r="G5" s="136">
        <f t="shared" ref="G5:G75" si="14">IF(ISBLANK(H5),0,IF($C$1,CEILING(D5/H5,1),FLOOR(D5/H5,1)))</f>
        <v>0</v>
      </c>
      <c r="H5" s="137">
        <v>50.0</v>
      </c>
      <c r="I5" s="138"/>
      <c r="J5" s="139">
        <f t="shared" ref="J5:J75" si="15">K5*D5</f>
        <v>2080</v>
      </c>
      <c r="K5" s="140">
        <f t="shared" ref="K5:K75" si="16">CEILING(SUM(CX5:EL5),1)+IF(ISBLANK(I5),0,VLOOKUP(I5,A:K,11,FALSE))</f>
        <v>65</v>
      </c>
      <c r="L5" s="139" t="s">
        <v>61</v>
      </c>
      <c r="M5" s="139" t="s">
        <v>61</v>
      </c>
      <c r="N5" s="141"/>
      <c r="O5" s="141"/>
      <c r="P5" s="141"/>
      <c r="Q5" s="141"/>
      <c r="R5" s="141"/>
      <c r="S5" s="141"/>
      <c r="T5" s="141"/>
      <c r="U5" s="139">
        <v>1.0</v>
      </c>
      <c r="V5" s="139"/>
      <c r="W5" s="139"/>
      <c r="X5" s="139"/>
      <c r="Y5" s="139"/>
      <c r="Z5" s="139"/>
      <c r="AA5" s="139"/>
      <c r="AB5" s="139"/>
      <c r="AC5" s="141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>
        <v>1.0</v>
      </c>
      <c r="BC5" s="139">
        <v>1.0</v>
      </c>
      <c r="BD5" s="142"/>
      <c r="BE5" s="143">
        <f t="shared" ref="BE5:BE75" si="17">IF(ISNUMBER(L5),$G5*L5*25+$F5*L5*10+$E5*L5,0)</f>
        <v>0</v>
      </c>
      <c r="BF5" s="143" t="str">
        <f t="shared" ref="BF5:BF75" si="18">IF(D5&gt;0,M5,0)</f>
        <v>-</v>
      </c>
      <c r="BG5" s="143">
        <f t="shared" ref="BG5:BT5" si="4">$G5*N5*IF($H5&gt;50,18,36)+$F5*N5*IF($H5&gt;50,4,8)+$E5*N5</f>
        <v>0</v>
      </c>
      <c r="BH5" s="143">
        <f t="shared" si="4"/>
        <v>0</v>
      </c>
      <c r="BI5" s="143">
        <f t="shared" si="4"/>
        <v>0</v>
      </c>
      <c r="BJ5" s="143">
        <f t="shared" si="4"/>
        <v>0</v>
      </c>
      <c r="BK5" s="143">
        <f t="shared" si="4"/>
        <v>0</v>
      </c>
      <c r="BL5" s="143">
        <f t="shared" si="4"/>
        <v>0</v>
      </c>
      <c r="BM5" s="143">
        <f t="shared" si="4"/>
        <v>0</v>
      </c>
      <c r="BN5" s="143">
        <f t="shared" si="4"/>
        <v>26</v>
      </c>
      <c r="BO5" s="143">
        <f t="shared" si="4"/>
        <v>0</v>
      </c>
      <c r="BP5" s="143">
        <f t="shared" si="4"/>
        <v>0</v>
      </c>
      <c r="BQ5" s="143">
        <f t="shared" si="4"/>
        <v>0</v>
      </c>
      <c r="BR5" s="143">
        <f t="shared" si="4"/>
        <v>0</v>
      </c>
      <c r="BS5" s="143">
        <f t="shared" si="4"/>
        <v>0</v>
      </c>
      <c r="BT5" s="143">
        <f t="shared" si="4"/>
        <v>0</v>
      </c>
      <c r="BU5" s="143">
        <f t="shared" ref="BU5:BU75" si="20">$G5*AC5*IF($H5&gt;50,18,36)+$F5*AC5*IF($H5&gt;50,4,8)+$E5*AC5</f>
        <v>0</v>
      </c>
      <c r="BV5" s="143">
        <f t="shared" ref="BV5:BV75" si="21">$G5*AB5*IF($H5&gt;50,18,36)+$F5*AB5*IF($H5&gt;50,4,8)+$E5*AB5</f>
        <v>0</v>
      </c>
      <c r="BW5" s="143">
        <f t="shared" ref="BW5:BX5" si="5">$G5*AD5*IF($H5&gt;50,18,36)+$F5*AD5*IF($H5&gt;50,4,8)+$E5*AD5</f>
        <v>0</v>
      </c>
      <c r="BX5" s="143">
        <f t="shared" si="5"/>
        <v>0</v>
      </c>
      <c r="BY5" s="143">
        <f t="shared" ref="BY5:BY75" si="23">$G5*AI5*IF($H5&gt;50,18,36)+$F5*AI5*IF($H5&gt;50,4,8)+$E5*AI5</f>
        <v>0</v>
      </c>
      <c r="BZ5" s="143">
        <f t="shared" ref="BZ5:BZ75" si="24">$G5*AF5*IF($H5&gt;50,18,36)+$F5*AF5*IF($H5&gt;50,4,8)+$E5*AF5</f>
        <v>0</v>
      </c>
      <c r="CA5" s="143">
        <f t="shared" ref="CA5:CA75" si="25">$G5*AH5*IF($H5&gt;50,18,36)+$F5*AH5*IF($H5&gt;50,4,8)+$E5*AH5</f>
        <v>0</v>
      </c>
      <c r="CB5" s="143">
        <f t="shared" ref="CB5:CB75" si="26">$G5*AG5*IF($H5&gt;50,18,36)+$F5*AG5*IF($H5&gt;50,4,8)+$E5*AG5</f>
        <v>0</v>
      </c>
      <c r="CC5" s="143">
        <f t="shared" ref="CC5:CC75" si="27">$G5*AJ5*IF($H5&gt;50,18,36)+$F5*AJ5*IF($H5&gt;50,4,8)+$E5*AJ5</f>
        <v>0</v>
      </c>
      <c r="CD5" s="143">
        <f t="shared" ref="CD5:CD75" si="28">$G5*AM5*IF($H5&gt;50,18,36)+$F5*AM5*IF($H5&gt;50,4,8)+$E5*AM5</f>
        <v>0</v>
      </c>
      <c r="CE5" s="143">
        <f t="shared" ref="CE5:CE75" si="29">$G5*AL5*IF($H5&gt;50,18,36)+$F5*AL5*IF($H5&gt;50,4,8)+$E5*AL5</f>
        <v>0</v>
      </c>
      <c r="CF5" s="143">
        <f t="shared" ref="CF5:CF75" si="30">$G5*AK5*IF($H5&gt;50,18,36)+$F5*AK5*IF($H5&gt;50,4,8)+$E5*AK5</f>
        <v>0</v>
      </c>
      <c r="CG5" s="143">
        <f t="shared" ref="CG5:CG75" si="31">$G5*AN5*IF($H5&gt;50,18,36)+$F5*AN5*IF($H5&gt;50,4,8)+$E5*AN5</f>
        <v>0</v>
      </c>
      <c r="CH5" s="143">
        <f t="shared" ref="CH5:CH75" si="32">$G5*AQ5*IF($H5&gt;50,18,36)+$F5*AQ5*IF($H5&gt;50,4,8)+$E5*AQ5</f>
        <v>0</v>
      </c>
      <c r="CI5" s="143">
        <f t="shared" ref="CI5:CI75" si="33">$G5*AP5*IF($H5&gt;50,18,36)+$F5*AP5*IF($H5&gt;50,4,8)+$E5*AP5</f>
        <v>0</v>
      </c>
      <c r="CJ5" s="143">
        <f t="shared" ref="CJ5:CJ75" si="34">$G5*AO5*IF($H5&gt;50,18,36)+$F5*AO5*IF($H5&gt;50,4,8)+$E5*AO5</f>
        <v>0</v>
      </c>
      <c r="CK5" s="143">
        <f t="shared" ref="CK5:CV5" si="6">$G5*AR5*IF($H5&gt;50,18,36)+$F5*AR5*IF($H5&gt;50,4,8)+$E5*AR5</f>
        <v>0</v>
      </c>
      <c r="CL5" s="143">
        <f t="shared" si="6"/>
        <v>0</v>
      </c>
      <c r="CM5" s="143">
        <f t="shared" si="6"/>
        <v>0</v>
      </c>
      <c r="CN5" s="143">
        <f t="shared" si="6"/>
        <v>0</v>
      </c>
      <c r="CO5" s="143">
        <f t="shared" si="6"/>
        <v>0</v>
      </c>
      <c r="CP5" s="143">
        <f t="shared" si="6"/>
        <v>0</v>
      </c>
      <c r="CQ5" s="143">
        <f t="shared" si="6"/>
        <v>0</v>
      </c>
      <c r="CR5" s="143">
        <f t="shared" si="6"/>
        <v>0</v>
      </c>
      <c r="CS5" s="143">
        <f t="shared" si="6"/>
        <v>0</v>
      </c>
      <c r="CT5" s="143">
        <f t="shared" si="6"/>
        <v>0</v>
      </c>
      <c r="CU5" s="143">
        <f t="shared" si="6"/>
        <v>26</v>
      </c>
      <c r="CV5" s="143">
        <f t="shared" si="6"/>
        <v>26</v>
      </c>
      <c r="CW5" s="143"/>
      <c r="CX5" s="143">
        <f t="shared" ref="CX5:DJ5" si="7">O5*BH$2/($H5/50)^2</f>
        <v>0</v>
      </c>
      <c r="CY5" s="143">
        <f t="shared" si="7"/>
        <v>0</v>
      </c>
      <c r="CZ5" s="143">
        <f t="shared" si="7"/>
        <v>0</v>
      </c>
      <c r="DA5" s="143">
        <f t="shared" si="7"/>
        <v>0</v>
      </c>
      <c r="DB5" s="143">
        <f t="shared" si="7"/>
        <v>0</v>
      </c>
      <c r="DC5" s="143">
        <f t="shared" si="7"/>
        <v>0</v>
      </c>
      <c r="DD5" s="143">
        <f t="shared" si="7"/>
        <v>60</v>
      </c>
      <c r="DE5" s="143">
        <f t="shared" si="7"/>
        <v>0</v>
      </c>
      <c r="DF5" s="143">
        <f t="shared" si="7"/>
        <v>0</v>
      </c>
      <c r="DG5" s="143">
        <f t="shared" si="7"/>
        <v>0</v>
      </c>
      <c r="DH5" s="143">
        <f t="shared" si="7"/>
        <v>0</v>
      </c>
      <c r="DI5" s="143">
        <f t="shared" si="7"/>
        <v>0</v>
      </c>
      <c r="DJ5" s="143">
        <f t="shared" si="7"/>
        <v>0</v>
      </c>
      <c r="DK5" s="143">
        <f t="shared" ref="DK5:DK75" si="37">AC5*BU$2/($H5/50)^2</f>
        <v>0</v>
      </c>
      <c r="DL5" s="143">
        <f t="shared" ref="DL5:DL75" si="38">AB5*BV$2/($H5/50)^2</f>
        <v>0</v>
      </c>
      <c r="DM5" s="143">
        <f t="shared" ref="DM5:DN5" si="8">AD5*BW$2/($H5/50)^2</f>
        <v>0</v>
      </c>
      <c r="DN5" s="143">
        <f t="shared" si="8"/>
        <v>0</v>
      </c>
      <c r="DO5" s="143">
        <f t="shared" ref="DO5:DO75" si="40">AI5*BY$2/($H5/50)^2</f>
        <v>0</v>
      </c>
      <c r="DP5" s="143">
        <f t="shared" ref="DP5:DP75" si="41">AF5*BZ$2/($H5/50)^2</f>
        <v>0</v>
      </c>
      <c r="DQ5" s="143">
        <f t="shared" ref="DQ5:DQ75" si="42">AH5*CA$2/($H5/50)^2</f>
        <v>0</v>
      </c>
      <c r="DR5" s="143">
        <f t="shared" ref="DR5:DR75" si="43">AG5*CB$2/($H5/50)^2</f>
        <v>0</v>
      </c>
      <c r="DS5" s="143">
        <f t="shared" ref="DS5:DS75" si="44">AJ5*CC$2/($H5/50)^2</f>
        <v>0</v>
      </c>
      <c r="DT5" s="143">
        <f t="shared" ref="DT5:DT75" si="45">AM5*CD$2/($H5/50)^2</f>
        <v>0</v>
      </c>
      <c r="DU5" s="143">
        <f t="shared" ref="DU5:DU75" si="46">AL5*CE$2/($H5/50)^2</f>
        <v>0</v>
      </c>
      <c r="DV5" s="143">
        <f t="shared" ref="DV5:DV75" si="47">AK5*CF$2/($H5/50)^2</f>
        <v>0</v>
      </c>
      <c r="DW5" s="143">
        <f t="shared" ref="DW5:DW75" si="48">AN5*CG$2/($H5/50)^2</f>
        <v>0</v>
      </c>
      <c r="DX5" s="143">
        <f t="shared" ref="DX5:DX75" si="49">AQ5*CH$2/($H5/50)^2</f>
        <v>0</v>
      </c>
      <c r="DY5" s="143">
        <f t="shared" ref="DY5:DY75" si="50">AP5*CI$2/($H5/50)^2</f>
        <v>0</v>
      </c>
      <c r="DZ5" s="143">
        <f t="shared" ref="DZ5:DZ75" si="51">AO5*CJ$2/($H5/50)^2</f>
        <v>0</v>
      </c>
      <c r="EA5" s="143">
        <f t="shared" ref="EA5:EL5" si="9">AR5*CK$2/($H5/50)^2</f>
        <v>0</v>
      </c>
      <c r="EB5" s="143">
        <f t="shared" si="9"/>
        <v>0</v>
      </c>
      <c r="EC5" s="143">
        <f t="shared" si="9"/>
        <v>0</v>
      </c>
      <c r="ED5" s="143">
        <f t="shared" si="9"/>
        <v>0</v>
      </c>
      <c r="EE5" s="143">
        <f t="shared" si="9"/>
        <v>0</v>
      </c>
      <c r="EF5" s="143">
        <f t="shared" si="9"/>
        <v>0</v>
      </c>
      <c r="EG5" s="143">
        <f t="shared" si="9"/>
        <v>0</v>
      </c>
      <c r="EH5" s="143">
        <f t="shared" si="9"/>
        <v>0</v>
      </c>
      <c r="EI5" s="143">
        <f t="shared" si="9"/>
        <v>0</v>
      </c>
      <c r="EJ5" s="143">
        <f t="shared" si="9"/>
        <v>0</v>
      </c>
      <c r="EK5" s="143">
        <f t="shared" si="9"/>
        <v>1</v>
      </c>
      <c r="EL5" s="143">
        <f t="shared" si="9"/>
        <v>4</v>
      </c>
    </row>
    <row r="6">
      <c r="A6" s="131" t="s">
        <v>62</v>
      </c>
      <c r="B6" s="132">
        <f t="shared" si="10"/>
        <v>24</v>
      </c>
      <c r="C6" s="144"/>
      <c r="D6" s="134">
        <f t="shared" si="11"/>
        <v>24</v>
      </c>
      <c r="E6" s="135">
        <f t="shared" si="12"/>
        <v>4</v>
      </c>
      <c r="F6" s="132">
        <f t="shared" si="13"/>
        <v>2</v>
      </c>
      <c r="G6" s="136">
        <f t="shared" si="14"/>
        <v>0</v>
      </c>
      <c r="H6" s="137">
        <v>50.0</v>
      </c>
      <c r="I6" s="137"/>
      <c r="J6" s="139">
        <f t="shared" si="15"/>
        <v>3936</v>
      </c>
      <c r="K6" s="140">
        <f t="shared" si="16"/>
        <v>164</v>
      </c>
      <c r="L6" s="139">
        <v>200.0</v>
      </c>
      <c r="M6" s="139" t="s">
        <v>61</v>
      </c>
      <c r="N6" s="139"/>
      <c r="O6" s="139"/>
      <c r="P6" s="141"/>
      <c r="Q6" s="141"/>
      <c r="R6" s="141"/>
      <c r="S6" s="141"/>
      <c r="T6" s="141"/>
      <c r="U6" s="141"/>
      <c r="V6" s="141"/>
      <c r="W6" s="139"/>
      <c r="X6" s="139"/>
      <c r="Y6" s="139"/>
      <c r="Z6" s="139"/>
      <c r="AA6" s="139"/>
      <c r="AB6" s="141"/>
      <c r="AC6" s="141"/>
      <c r="AD6" s="141"/>
      <c r="AE6" s="141"/>
      <c r="AF6" s="141"/>
      <c r="AG6" s="141"/>
      <c r="AH6" s="141"/>
      <c r="AI6" s="141"/>
      <c r="AJ6" s="139"/>
      <c r="AK6" s="139"/>
      <c r="AL6" s="139"/>
      <c r="AM6" s="139"/>
      <c r="AN6" s="139"/>
      <c r="AO6" s="141"/>
      <c r="AP6" s="141"/>
      <c r="AQ6" s="141"/>
      <c r="AR6" s="141"/>
      <c r="AS6" s="139"/>
      <c r="AT6" s="141"/>
      <c r="AU6" s="141"/>
      <c r="AV6" s="141"/>
      <c r="AW6" s="139"/>
      <c r="AX6" s="139"/>
      <c r="AY6" s="139">
        <v>2.0</v>
      </c>
      <c r="AZ6" s="139">
        <v>1.0</v>
      </c>
      <c r="BA6" s="139"/>
      <c r="BB6" s="141"/>
      <c r="BC6" s="139">
        <v>1.0</v>
      </c>
      <c r="BD6" s="142"/>
      <c r="BE6" s="143">
        <f t="shared" si="17"/>
        <v>4800</v>
      </c>
      <c r="BF6" s="143" t="str">
        <f t="shared" si="18"/>
        <v>-</v>
      </c>
      <c r="BG6" s="143">
        <f t="shared" ref="BG6:BT6" si="19">$G6*N6*IF($H6&gt;50,18,36)+$F6*N6*IF($H6&gt;50,4,8)+$E6*N6</f>
        <v>0</v>
      </c>
      <c r="BH6" s="143">
        <f t="shared" si="19"/>
        <v>0</v>
      </c>
      <c r="BI6" s="143">
        <f t="shared" si="19"/>
        <v>0</v>
      </c>
      <c r="BJ6" s="143">
        <f t="shared" si="19"/>
        <v>0</v>
      </c>
      <c r="BK6" s="143">
        <f t="shared" si="19"/>
        <v>0</v>
      </c>
      <c r="BL6" s="143">
        <f t="shared" si="19"/>
        <v>0</v>
      </c>
      <c r="BM6" s="143">
        <f t="shared" si="19"/>
        <v>0</v>
      </c>
      <c r="BN6" s="143">
        <f t="shared" si="19"/>
        <v>0</v>
      </c>
      <c r="BO6" s="143">
        <f t="shared" si="19"/>
        <v>0</v>
      </c>
      <c r="BP6" s="143">
        <f t="shared" si="19"/>
        <v>0</v>
      </c>
      <c r="BQ6" s="143">
        <f t="shared" si="19"/>
        <v>0</v>
      </c>
      <c r="BR6" s="143">
        <f t="shared" si="19"/>
        <v>0</v>
      </c>
      <c r="BS6" s="143">
        <f t="shared" si="19"/>
        <v>0</v>
      </c>
      <c r="BT6" s="143">
        <f t="shared" si="19"/>
        <v>0</v>
      </c>
      <c r="BU6" s="143">
        <f t="shared" si="20"/>
        <v>0</v>
      </c>
      <c r="BV6" s="143">
        <f t="shared" si="21"/>
        <v>0</v>
      </c>
      <c r="BW6" s="143">
        <f t="shared" ref="BW6:BX6" si="22">$G6*AD6*IF($H6&gt;50,18,36)+$F6*AD6*IF($H6&gt;50,4,8)+$E6*AD6</f>
        <v>0</v>
      </c>
      <c r="BX6" s="143">
        <f t="shared" si="22"/>
        <v>0</v>
      </c>
      <c r="BY6" s="143">
        <f t="shared" si="23"/>
        <v>0</v>
      </c>
      <c r="BZ6" s="143">
        <f t="shared" si="24"/>
        <v>0</v>
      </c>
      <c r="CA6" s="143">
        <f t="shared" si="25"/>
        <v>0</v>
      </c>
      <c r="CB6" s="143">
        <f t="shared" si="26"/>
        <v>0</v>
      </c>
      <c r="CC6" s="143">
        <f t="shared" si="27"/>
        <v>0</v>
      </c>
      <c r="CD6" s="143">
        <f t="shared" si="28"/>
        <v>0</v>
      </c>
      <c r="CE6" s="143">
        <f t="shared" si="29"/>
        <v>0</v>
      </c>
      <c r="CF6" s="143">
        <f t="shared" si="30"/>
        <v>0</v>
      </c>
      <c r="CG6" s="143">
        <f t="shared" si="31"/>
        <v>0</v>
      </c>
      <c r="CH6" s="143">
        <f t="shared" si="32"/>
        <v>0</v>
      </c>
      <c r="CI6" s="143">
        <f t="shared" si="33"/>
        <v>0</v>
      </c>
      <c r="CJ6" s="143">
        <f t="shared" si="34"/>
        <v>0</v>
      </c>
      <c r="CK6" s="143">
        <f t="shared" ref="CK6:CV6" si="35">$G6*AR6*IF($H6&gt;50,18,36)+$F6*AR6*IF($H6&gt;50,4,8)+$E6*AR6</f>
        <v>0</v>
      </c>
      <c r="CL6" s="143">
        <f t="shared" si="35"/>
        <v>0</v>
      </c>
      <c r="CM6" s="143">
        <f t="shared" si="35"/>
        <v>0</v>
      </c>
      <c r="CN6" s="143">
        <f t="shared" si="35"/>
        <v>0</v>
      </c>
      <c r="CO6" s="143">
        <f t="shared" si="35"/>
        <v>0</v>
      </c>
      <c r="CP6" s="143">
        <f t="shared" si="35"/>
        <v>0</v>
      </c>
      <c r="CQ6" s="143">
        <f t="shared" si="35"/>
        <v>0</v>
      </c>
      <c r="CR6" s="143">
        <f t="shared" si="35"/>
        <v>40</v>
      </c>
      <c r="CS6" s="143">
        <f t="shared" si="35"/>
        <v>20</v>
      </c>
      <c r="CT6" s="143">
        <f t="shared" si="35"/>
        <v>0</v>
      </c>
      <c r="CU6" s="143">
        <f t="shared" si="35"/>
        <v>0</v>
      </c>
      <c r="CV6" s="143">
        <f t="shared" si="35"/>
        <v>20</v>
      </c>
      <c r="CW6" s="143"/>
      <c r="CX6" s="143">
        <f t="shared" ref="CX6:DJ6" si="36">O6*BH$2/($H6/50)^2</f>
        <v>0</v>
      </c>
      <c r="CY6" s="143">
        <f t="shared" si="36"/>
        <v>0</v>
      </c>
      <c r="CZ6" s="143">
        <f t="shared" si="36"/>
        <v>0</v>
      </c>
      <c r="DA6" s="143">
        <f t="shared" si="36"/>
        <v>0</v>
      </c>
      <c r="DB6" s="143">
        <f t="shared" si="36"/>
        <v>0</v>
      </c>
      <c r="DC6" s="143">
        <f t="shared" si="36"/>
        <v>0</v>
      </c>
      <c r="DD6" s="143">
        <f t="shared" si="36"/>
        <v>0</v>
      </c>
      <c r="DE6" s="143">
        <f t="shared" si="36"/>
        <v>0</v>
      </c>
      <c r="DF6" s="143">
        <f t="shared" si="36"/>
        <v>0</v>
      </c>
      <c r="DG6" s="143">
        <f t="shared" si="36"/>
        <v>0</v>
      </c>
      <c r="DH6" s="143">
        <f t="shared" si="36"/>
        <v>0</v>
      </c>
      <c r="DI6" s="143">
        <f t="shared" si="36"/>
        <v>0</v>
      </c>
      <c r="DJ6" s="143">
        <f t="shared" si="36"/>
        <v>0</v>
      </c>
      <c r="DK6" s="143">
        <f t="shared" si="37"/>
        <v>0</v>
      </c>
      <c r="DL6" s="143">
        <f t="shared" si="38"/>
        <v>0</v>
      </c>
      <c r="DM6" s="143">
        <f t="shared" ref="DM6:DN6" si="39">AD6*BW$2/($H6/50)^2</f>
        <v>0</v>
      </c>
      <c r="DN6" s="143">
        <f t="shared" si="39"/>
        <v>0</v>
      </c>
      <c r="DO6" s="143">
        <f t="shared" si="40"/>
        <v>0</v>
      </c>
      <c r="DP6" s="143">
        <f t="shared" si="41"/>
        <v>0</v>
      </c>
      <c r="DQ6" s="143">
        <f t="shared" si="42"/>
        <v>0</v>
      </c>
      <c r="DR6" s="143">
        <f t="shared" si="43"/>
        <v>0</v>
      </c>
      <c r="DS6" s="143">
        <f t="shared" si="44"/>
        <v>0</v>
      </c>
      <c r="DT6" s="143">
        <f t="shared" si="45"/>
        <v>0</v>
      </c>
      <c r="DU6" s="143">
        <f t="shared" si="46"/>
        <v>0</v>
      </c>
      <c r="DV6" s="143">
        <f t="shared" si="47"/>
        <v>0</v>
      </c>
      <c r="DW6" s="143">
        <f t="shared" si="48"/>
        <v>0</v>
      </c>
      <c r="DX6" s="143">
        <f t="shared" si="49"/>
        <v>0</v>
      </c>
      <c r="DY6" s="143">
        <f t="shared" si="50"/>
        <v>0</v>
      </c>
      <c r="DZ6" s="143">
        <f t="shared" si="51"/>
        <v>0</v>
      </c>
      <c r="EA6" s="143">
        <f t="shared" ref="EA6:EL6" si="52">AR6*CK$2/($H6/50)^2</f>
        <v>0</v>
      </c>
      <c r="EB6" s="143">
        <f t="shared" si="52"/>
        <v>0</v>
      </c>
      <c r="EC6" s="143">
        <f t="shared" si="52"/>
        <v>0</v>
      </c>
      <c r="ED6" s="143">
        <f t="shared" si="52"/>
        <v>0</v>
      </c>
      <c r="EE6" s="143">
        <f t="shared" si="52"/>
        <v>0</v>
      </c>
      <c r="EF6" s="143">
        <f t="shared" si="52"/>
        <v>0</v>
      </c>
      <c r="EG6" s="143">
        <f t="shared" si="52"/>
        <v>0</v>
      </c>
      <c r="EH6" s="143">
        <f t="shared" si="52"/>
        <v>70</v>
      </c>
      <c r="EI6" s="143">
        <f t="shared" si="52"/>
        <v>90</v>
      </c>
      <c r="EJ6" s="143">
        <f t="shared" si="52"/>
        <v>0</v>
      </c>
      <c r="EK6" s="143">
        <f t="shared" si="52"/>
        <v>0</v>
      </c>
      <c r="EL6" s="143">
        <f t="shared" si="52"/>
        <v>4</v>
      </c>
    </row>
    <row r="7">
      <c r="A7" s="131" t="s">
        <v>63</v>
      </c>
      <c r="B7" s="132">
        <f t="shared" si="10"/>
        <v>28</v>
      </c>
      <c r="C7" s="144"/>
      <c r="D7" s="134">
        <f t="shared" si="11"/>
        <v>28</v>
      </c>
      <c r="E7" s="135">
        <f t="shared" si="12"/>
        <v>8</v>
      </c>
      <c r="F7" s="132">
        <f t="shared" si="13"/>
        <v>2</v>
      </c>
      <c r="G7" s="136">
        <f t="shared" si="14"/>
        <v>0</v>
      </c>
      <c r="H7" s="137">
        <v>50.0</v>
      </c>
      <c r="I7" s="137"/>
      <c r="J7" s="139">
        <f t="shared" si="15"/>
        <v>336</v>
      </c>
      <c r="K7" s="140">
        <f t="shared" si="16"/>
        <v>12</v>
      </c>
      <c r="L7" s="139" t="s">
        <v>61</v>
      </c>
      <c r="M7" s="139" t="s">
        <v>61</v>
      </c>
      <c r="N7" s="139"/>
      <c r="O7" s="139"/>
      <c r="P7" s="141"/>
      <c r="Q7" s="141"/>
      <c r="R7" s="141"/>
      <c r="S7" s="141"/>
      <c r="T7" s="141"/>
      <c r="U7" s="141"/>
      <c r="V7" s="141"/>
      <c r="W7" s="139"/>
      <c r="X7" s="139"/>
      <c r="Y7" s="139"/>
      <c r="Z7" s="139"/>
      <c r="AA7" s="139"/>
      <c r="AB7" s="141"/>
      <c r="AC7" s="141"/>
      <c r="AD7" s="141"/>
      <c r="AE7" s="141"/>
      <c r="AF7" s="141"/>
      <c r="AG7" s="141"/>
      <c r="AH7" s="141"/>
      <c r="AI7" s="141"/>
      <c r="AJ7" s="139"/>
      <c r="AK7" s="139"/>
      <c r="AL7" s="139"/>
      <c r="AM7" s="139"/>
      <c r="AN7" s="139"/>
      <c r="AO7" s="141"/>
      <c r="AP7" s="141"/>
      <c r="AQ7" s="141"/>
      <c r="AR7" s="141"/>
      <c r="AS7" s="139"/>
      <c r="AT7" s="141"/>
      <c r="AU7" s="141"/>
      <c r="AV7" s="141"/>
      <c r="AW7" s="139"/>
      <c r="AX7" s="139">
        <v>1.0</v>
      </c>
      <c r="AY7" s="139"/>
      <c r="AZ7" s="139"/>
      <c r="BA7" s="139">
        <v>1.0</v>
      </c>
      <c r="BB7" s="141"/>
      <c r="BC7" s="139">
        <v>1.0</v>
      </c>
      <c r="BD7" s="142"/>
      <c r="BE7" s="143">
        <f t="shared" si="17"/>
        <v>0</v>
      </c>
      <c r="BF7" s="143" t="str">
        <f t="shared" si="18"/>
        <v>-</v>
      </c>
      <c r="BG7" s="143">
        <f t="shared" ref="BG7:BT7" si="53">$G7*N7*IF($H7&gt;50,18,36)+$F7*N7*IF($H7&gt;50,4,8)+$E7*N7</f>
        <v>0</v>
      </c>
      <c r="BH7" s="143">
        <f t="shared" si="53"/>
        <v>0</v>
      </c>
      <c r="BI7" s="143">
        <f t="shared" si="53"/>
        <v>0</v>
      </c>
      <c r="BJ7" s="143">
        <f t="shared" si="53"/>
        <v>0</v>
      </c>
      <c r="BK7" s="143">
        <f t="shared" si="53"/>
        <v>0</v>
      </c>
      <c r="BL7" s="143">
        <f t="shared" si="53"/>
        <v>0</v>
      </c>
      <c r="BM7" s="143">
        <f t="shared" si="53"/>
        <v>0</v>
      </c>
      <c r="BN7" s="143">
        <f t="shared" si="53"/>
        <v>0</v>
      </c>
      <c r="BO7" s="143">
        <f t="shared" si="53"/>
        <v>0</v>
      </c>
      <c r="BP7" s="143">
        <f t="shared" si="53"/>
        <v>0</v>
      </c>
      <c r="BQ7" s="143">
        <f t="shared" si="53"/>
        <v>0</v>
      </c>
      <c r="BR7" s="143">
        <f t="shared" si="53"/>
        <v>0</v>
      </c>
      <c r="BS7" s="143">
        <f t="shared" si="53"/>
        <v>0</v>
      </c>
      <c r="BT7" s="143">
        <f t="shared" si="53"/>
        <v>0</v>
      </c>
      <c r="BU7" s="143">
        <f t="shared" si="20"/>
        <v>0</v>
      </c>
      <c r="BV7" s="143">
        <f t="shared" si="21"/>
        <v>0</v>
      </c>
      <c r="BW7" s="143">
        <f t="shared" ref="BW7:BX7" si="54">$G7*AD7*IF($H7&gt;50,18,36)+$F7*AD7*IF($H7&gt;50,4,8)+$E7*AD7</f>
        <v>0</v>
      </c>
      <c r="BX7" s="143">
        <f t="shared" si="54"/>
        <v>0</v>
      </c>
      <c r="BY7" s="143">
        <f t="shared" si="23"/>
        <v>0</v>
      </c>
      <c r="BZ7" s="143">
        <f t="shared" si="24"/>
        <v>0</v>
      </c>
      <c r="CA7" s="143">
        <f t="shared" si="25"/>
        <v>0</v>
      </c>
      <c r="CB7" s="143">
        <f t="shared" si="26"/>
        <v>0</v>
      </c>
      <c r="CC7" s="143">
        <f t="shared" si="27"/>
        <v>0</v>
      </c>
      <c r="CD7" s="143">
        <f t="shared" si="28"/>
        <v>0</v>
      </c>
      <c r="CE7" s="143">
        <f t="shared" si="29"/>
        <v>0</v>
      </c>
      <c r="CF7" s="143">
        <f t="shared" si="30"/>
        <v>0</v>
      </c>
      <c r="CG7" s="143">
        <f t="shared" si="31"/>
        <v>0</v>
      </c>
      <c r="CH7" s="143">
        <f t="shared" si="32"/>
        <v>0</v>
      </c>
      <c r="CI7" s="143">
        <f t="shared" si="33"/>
        <v>0</v>
      </c>
      <c r="CJ7" s="143">
        <f t="shared" si="34"/>
        <v>0</v>
      </c>
      <c r="CK7" s="143">
        <f t="shared" ref="CK7:CV7" si="55">$G7*AR7*IF($H7&gt;50,18,36)+$F7*AR7*IF($H7&gt;50,4,8)+$E7*AR7</f>
        <v>0</v>
      </c>
      <c r="CL7" s="143">
        <f t="shared" si="55"/>
        <v>0</v>
      </c>
      <c r="CM7" s="143">
        <f t="shared" si="55"/>
        <v>0</v>
      </c>
      <c r="CN7" s="143">
        <f t="shared" si="55"/>
        <v>0</v>
      </c>
      <c r="CO7" s="143">
        <f t="shared" si="55"/>
        <v>0</v>
      </c>
      <c r="CP7" s="143">
        <f t="shared" si="55"/>
        <v>0</v>
      </c>
      <c r="CQ7" s="143">
        <f t="shared" si="55"/>
        <v>24</v>
      </c>
      <c r="CR7" s="143">
        <f t="shared" si="55"/>
        <v>0</v>
      </c>
      <c r="CS7" s="143">
        <f t="shared" si="55"/>
        <v>0</v>
      </c>
      <c r="CT7" s="143">
        <f t="shared" si="55"/>
        <v>24</v>
      </c>
      <c r="CU7" s="143">
        <f t="shared" si="55"/>
        <v>0</v>
      </c>
      <c r="CV7" s="143">
        <f t="shared" si="55"/>
        <v>24</v>
      </c>
      <c r="CW7" s="143"/>
      <c r="CX7" s="143">
        <f t="shared" ref="CX7:DJ7" si="56">O7*BH$2/($H7/50)^2</f>
        <v>0</v>
      </c>
      <c r="CY7" s="143">
        <f t="shared" si="56"/>
        <v>0</v>
      </c>
      <c r="CZ7" s="143">
        <f t="shared" si="56"/>
        <v>0</v>
      </c>
      <c r="DA7" s="143">
        <f t="shared" si="56"/>
        <v>0</v>
      </c>
      <c r="DB7" s="143">
        <f t="shared" si="56"/>
        <v>0</v>
      </c>
      <c r="DC7" s="143">
        <f t="shared" si="56"/>
        <v>0</v>
      </c>
      <c r="DD7" s="143">
        <f t="shared" si="56"/>
        <v>0</v>
      </c>
      <c r="DE7" s="143">
        <f t="shared" si="56"/>
        <v>0</v>
      </c>
      <c r="DF7" s="143">
        <f t="shared" si="56"/>
        <v>0</v>
      </c>
      <c r="DG7" s="143">
        <f t="shared" si="56"/>
        <v>0</v>
      </c>
      <c r="DH7" s="143">
        <f t="shared" si="56"/>
        <v>0</v>
      </c>
      <c r="DI7" s="143">
        <f t="shared" si="56"/>
        <v>0</v>
      </c>
      <c r="DJ7" s="143">
        <f t="shared" si="56"/>
        <v>0</v>
      </c>
      <c r="DK7" s="143">
        <f t="shared" si="37"/>
        <v>0</v>
      </c>
      <c r="DL7" s="143">
        <f t="shared" si="38"/>
        <v>0</v>
      </c>
      <c r="DM7" s="143">
        <f t="shared" ref="DM7:DN7" si="57">AD7*BW$2/($H7/50)^2</f>
        <v>0</v>
      </c>
      <c r="DN7" s="143">
        <f t="shared" si="57"/>
        <v>0</v>
      </c>
      <c r="DO7" s="143">
        <f t="shared" si="40"/>
        <v>0</v>
      </c>
      <c r="DP7" s="143">
        <f t="shared" si="41"/>
        <v>0</v>
      </c>
      <c r="DQ7" s="143">
        <f t="shared" si="42"/>
        <v>0</v>
      </c>
      <c r="DR7" s="143">
        <f t="shared" si="43"/>
        <v>0</v>
      </c>
      <c r="DS7" s="143">
        <f t="shared" si="44"/>
        <v>0</v>
      </c>
      <c r="DT7" s="143">
        <f t="shared" si="45"/>
        <v>0</v>
      </c>
      <c r="DU7" s="143">
        <f t="shared" si="46"/>
        <v>0</v>
      </c>
      <c r="DV7" s="143">
        <f t="shared" si="47"/>
        <v>0</v>
      </c>
      <c r="DW7" s="143">
        <f t="shared" si="48"/>
        <v>0</v>
      </c>
      <c r="DX7" s="143">
        <f t="shared" si="49"/>
        <v>0</v>
      </c>
      <c r="DY7" s="143">
        <f t="shared" si="50"/>
        <v>0</v>
      </c>
      <c r="DZ7" s="143">
        <f t="shared" si="51"/>
        <v>0</v>
      </c>
      <c r="EA7" s="143">
        <f t="shared" ref="EA7:EL7" si="58">AR7*CK$2/($H7/50)^2</f>
        <v>0</v>
      </c>
      <c r="EB7" s="143">
        <f t="shared" si="58"/>
        <v>0</v>
      </c>
      <c r="EC7" s="143">
        <f t="shared" si="58"/>
        <v>0</v>
      </c>
      <c r="ED7" s="143">
        <f t="shared" si="58"/>
        <v>0</v>
      </c>
      <c r="EE7" s="143">
        <f t="shared" si="58"/>
        <v>0</v>
      </c>
      <c r="EF7" s="143">
        <f t="shared" si="58"/>
        <v>0</v>
      </c>
      <c r="EG7" s="143">
        <f t="shared" si="58"/>
        <v>4</v>
      </c>
      <c r="EH7" s="143">
        <f t="shared" si="58"/>
        <v>0</v>
      </c>
      <c r="EI7" s="143">
        <f t="shared" si="58"/>
        <v>0</v>
      </c>
      <c r="EJ7" s="143">
        <f t="shared" si="58"/>
        <v>4</v>
      </c>
      <c r="EK7" s="143">
        <f t="shared" si="58"/>
        <v>0</v>
      </c>
      <c r="EL7" s="143">
        <f t="shared" si="58"/>
        <v>4</v>
      </c>
    </row>
    <row r="8">
      <c r="A8" s="131" t="s">
        <v>64</v>
      </c>
      <c r="B8" s="132">
        <f t="shared" si="10"/>
        <v>28</v>
      </c>
      <c r="C8" s="144"/>
      <c r="D8" s="134">
        <f t="shared" si="11"/>
        <v>28</v>
      </c>
      <c r="E8" s="135">
        <f t="shared" si="12"/>
        <v>8</v>
      </c>
      <c r="F8" s="132">
        <f t="shared" si="13"/>
        <v>2</v>
      </c>
      <c r="G8" s="136">
        <f t="shared" si="14"/>
        <v>0</v>
      </c>
      <c r="H8" s="137">
        <v>50.0</v>
      </c>
      <c r="I8" s="137"/>
      <c r="J8" s="139">
        <f t="shared" si="15"/>
        <v>1652</v>
      </c>
      <c r="K8" s="140">
        <f t="shared" si="16"/>
        <v>59</v>
      </c>
      <c r="L8" s="139">
        <v>200.0</v>
      </c>
      <c r="M8" s="139" t="s">
        <v>61</v>
      </c>
      <c r="N8" s="139"/>
      <c r="O8" s="139"/>
      <c r="P8" s="141"/>
      <c r="Q8" s="141"/>
      <c r="R8" s="141"/>
      <c r="S8" s="141"/>
      <c r="T8" s="141"/>
      <c r="U8" s="141"/>
      <c r="V8" s="141"/>
      <c r="W8" s="139"/>
      <c r="X8" s="139"/>
      <c r="Y8" s="139"/>
      <c r="Z8" s="139"/>
      <c r="AA8" s="139"/>
      <c r="AB8" s="141"/>
      <c r="AC8" s="141"/>
      <c r="AD8" s="141"/>
      <c r="AE8" s="141"/>
      <c r="AF8" s="141"/>
      <c r="AG8" s="141"/>
      <c r="AH8" s="141"/>
      <c r="AI8" s="141"/>
      <c r="AJ8" s="139"/>
      <c r="AK8" s="139"/>
      <c r="AL8" s="139"/>
      <c r="AM8" s="139"/>
      <c r="AN8" s="139"/>
      <c r="AO8" s="141"/>
      <c r="AP8" s="141"/>
      <c r="AQ8" s="141"/>
      <c r="AR8" s="139">
        <v>1.0</v>
      </c>
      <c r="AS8" s="139"/>
      <c r="AT8" s="141"/>
      <c r="AU8" s="141"/>
      <c r="AV8" s="141"/>
      <c r="AW8" s="139">
        <v>2.0</v>
      </c>
      <c r="AX8" s="139"/>
      <c r="AY8" s="139"/>
      <c r="AZ8" s="139"/>
      <c r="BA8" s="139"/>
      <c r="BB8" s="141"/>
      <c r="BC8" s="139">
        <v>1.0</v>
      </c>
      <c r="BD8" s="142"/>
      <c r="BE8" s="143">
        <f t="shared" si="17"/>
        <v>5600</v>
      </c>
      <c r="BF8" s="143" t="str">
        <f t="shared" si="18"/>
        <v>-</v>
      </c>
      <c r="BG8" s="143">
        <f t="shared" ref="BG8:BT8" si="59">$G8*N8*IF($H8&gt;50,18,36)+$F8*N8*IF($H8&gt;50,4,8)+$E8*N8</f>
        <v>0</v>
      </c>
      <c r="BH8" s="143">
        <f t="shared" si="59"/>
        <v>0</v>
      </c>
      <c r="BI8" s="143">
        <f t="shared" si="59"/>
        <v>0</v>
      </c>
      <c r="BJ8" s="143">
        <f t="shared" si="59"/>
        <v>0</v>
      </c>
      <c r="BK8" s="143">
        <f t="shared" si="59"/>
        <v>0</v>
      </c>
      <c r="BL8" s="143">
        <f t="shared" si="59"/>
        <v>0</v>
      </c>
      <c r="BM8" s="143">
        <f t="shared" si="59"/>
        <v>0</v>
      </c>
      <c r="BN8" s="143">
        <f t="shared" si="59"/>
        <v>0</v>
      </c>
      <c r="BO8" s="143">
        <f t="shared" si="59"/>
        <v>0</v>
      </c>
      <c r="BP8" s="143">
        <f t="shared" si="59"/>
        <v>0</v>
      </c>
      <c r="BQ8" s="143">
        <f t="shared" si="59"/>
        <v>0</v>
      </c>
      <c r="BR8" s="143">
        <f t="shared" si="59"/>
        <v>0</v>
      </c>
      <c r="BS8" s="143">
        <f t="shared" si="59"/>
        <v>0</v>
      </c>
      <c r="BT8" s="143">
        <f t="shared" si="59"/>
        <v>0</v>
      </c>
      <c r="BU8" s="143">
        <f t="shared" si="20"/>
        <v>0</v>
      </c>
      <c r="BV8" s="143">
        <f t="shared" si="21"/>
        <v>0</v>
      </c>
      <c r="BW8" s="143">
        <f t="shared" ref="BW8:BX8" si="60">$G8*AD8*IF($H8&gt;50,18,36)+$F8*AD8*IF($H8&gt;50,4,8)+$E8*AD8</f>
        <v>0</v>
      </c>
      <c r="BX8" s="143">
        <f t="shared" si="60"/>
        <v>0</v>
      </c>
      <c r="BY8" s="143">
        <f t="shared" si="23"/>
        <v>0</v>
      </c>
      <c r="BZ8" s="143">
        <f t="shared" si="24"/>
        <v>0</v>
      </c>
      <c r="CA8" s="143">
        <f t="shared" si="25"/>
        <v>0</v>
      </c>
      <c r="CB8" s="143">
        <f t="shared" si="26"/>
        <v>0</v>
      </c>
      <c r="CC8" s="143">
        <f t="shared" si="27"/>
        <v>0</v>
      </c>
      <c r="CD8" s="143">
        <f t="shared" si="28"/>
        <v>0</v>
      </c>
      <c r="CE8" s="143">
        <f t="shared" si="29"/>
        <v>0</v>
      </c>
      <c r="CF8" s="143">
        <f t="shared" si="30"/>
        <v>0</v>
      </c>
      <c r="CG8" s="143">
        <f t="shared" si="31"/>
        <v>0</v>
      </c>
      <c r="CH8" s="143">
        <f t="shared" si="32"/>
        <v>0</v>
      </c>
      <c r="CI8" s="143">
        <f t="shared" si="33"/>
        <v>0</v>
      </c>
      <c r="CJ8" s="143">
        <f t="shared" si="34"/>
        <v>0</v>
      </c>
      <c r="CK8" s="143">
        <f t="shared" ref="CK8:CV8" si="61">$G8*AR8*IF($H8&gt;50,18,36)+$F8*AR8*IF($H8&gt;50,4,8)+$E8*AR8</f>
        <v>24</v>
      </c>
      <c r="CL8" s="143">
        <f t="shared" si="61"/>
        <v>0</v>
      </c>
      <c r="CM8" s="143">
        <f t="shared" si="61"/>
        <v>0</v>
      </c>
      <c r="CN8" s="143">
        <f t="shared" si="61"/>
        <v>0</v>
      </c>
      <c r="CO8" s="143">
        <f t="shared" si="61"/>
        <v>0</v>
      </c>
      <c r="CP8" s="143">
        <f t="shared" si="61"/>
        <v>48</v>
      </c>
      <c r="CQ8" s="143">
        <f t="shared" si="61"/>
        <v>0</v>
      </c>
      <c r="CR8" s="143">
        <f t="shared" si="61"/>
        <v>0</v>
      </c>
      <c r="CS8" s="143">
        <f t="shared" si="61"/>
        <v>0</v>
      </c>
      <c r="CT8" s="143">
        <f t="shared" si="61"/>
        <v>0</v>
      </c>
      <c r="CU8" s="143">
        <f t="shared" si="61"/>
        <v>0</v>
      </c>
      <c r="CV8" s="143">
        <f t="shared" si="61"/>
        <v>24</v>
      </c>
      <c r="CW8" s="143"/>
      <c r="CX8" s="143">
        <f t="shared" ref="CX8:DJ8" si="62">O8*BH$2/($H8/50)^2</f>
        <v>0</v>
      </c>
      <c r="CY8" s="143">
        <f t="shared" si="62"/>
        <v>0</v>
      </c>
      <c r="CZ8" s="143">
        <f t="shared" si="62"/>
        <v>0</v>
      </c>
      <c r="DA8" s="143">
        <f t="shared" si="62"/>
        <v>0</v>
      </c>
      <c r="DB8" s="143">
        <f t="shared" si="62"/>
        <v>0</v>
      </c>
      <c r="DC8" s="143">
        <f t="shared" si="62"/>
        <v>0</v>
      </c>
      <c r="DD8" s="143">
        <f t="shared" si="62"/>
        <v>0</v>
      </c>
      <c r="DE8" s="143">
        <f t="shared" si="62"/>
        <v>0</v>
      </c>
      <c r="DF8" s="143">
        <f t="shared" si="62"/>
        <v>0</v>
      </c>
      <c r="DG8" s="143">
        <f t="shared" si="62"/>
        <v>0</v>
      </c>
      <c r="DH8" s="143">
        <f t="shared" si="62"/>
        <v>0</v>
      </c>
      <c r="DI8" s="143">
        <f t="shared" si="62"/>
        <v>0</v>
      </c>
      <c r="DJ8" s="143">
        <f t="shared" si="62"/>
        <v>0</v>
      </c>
      <c r="DK8" s="143">
        <f t="shared" si="37"/>
        <v>0</v>
      </c>
      <c r="DL8" s="143">
        <f t="shared" si="38"/>
        <v>0</v>
      </c>
      <c r="DM8" s="143">
        <f t="shared" ref="DM8:DN8" si="63">AD8*BW$2/($H8/50)^2</f>
        <v>0</v>
      </c>
      <c r="DN8" s="143">
        <f t="shared" si="63"/>
        <v>0</v>
      </c>
      <c r="DO8" s="143">
        <f t="shared" si="40"/>
        <v>0</v>
      </c>
      <c r="DP8" s="143">
        <f t="shared" si="41"/>
        <v>0</v>
      </c>
      <c r="DQ8" s="143">
        <f t="shared" si="42"/>
        <v>0</v>
      </c>
      <c r="DR8" s="143">
        <f t="shared" si="43"/>
        <v>0</v>
      </c>
      <c r="DS8" s="143">
        <f t="shared" si="44"/>
        <v>0</v>
      </c>
      <c r="DT8" s="143">
        <f t="shared" si="45"/>
        <v>0</v>
      </c>
      <c r="DU8" s="143">
        <f t="shared" si="46"/>
        <v>0</v>
      </c>
      <c r="DV8" s="143">
        <f t="shared" si="47"/>
        <v>0</v>
      </c>
      <c r="DW8" s="143">
        <f t="shared" si="48"/>
        <v>0</v>
      </c>
      <c r="DX8" s="143">
        <f t="shared" si="49"/>
        <v>0</v>
      </c>
      <c r="DY8" s="143">
        <f t="shared" si="50"/>
        <v>0</v>
      </c>
      <c r="DZ8" s="143">
        <f t="shared" si="51"/>
        <v>0</v>
      </c>
      <c r="EA8" s="143">
        <f t="shared" ref="EA8:EL8" si="64">AR8*CK$2/($H8/50)^2</f>
        <v>15</v>
      </c>
      <c r="EB8" s="143">
        <f t="shared" si="64"/>
        <v>0</v>
      </c>
      <c r="EC8" s="143">
        <f t="shared" si="64"/>
        <v>0</v>
      </c>
      <c r="ED8" s="143">
        <f t="shared" si="64"/>
        <v>0</v>
      </c>
      <c r="EE8" s="143">
        <f t="shared" si="64"/>
        <v>0</v>
      </c>
      <c r="EF8" s="143">
        <f t="shared" si="64"/>
        <v>40</v>
      </c>
      <c r="EG8" s="143">
        <f t="shared" si="64"/>
        <v>0</v>
      </c>
      <c r="EH8" s="143">
        <f t="shared" si="64"/>
        <v>0</v>
      </c>
      <c r="EI8" s="143">
        <f t="shared" si="64"/>
        <v>0</v>
      </c>
      <c r="EJ8" s="143">
        <f t="shared" si="64"/>
        <v>0</v>
      </c>
      <c r="EK8" s="143">
        <f t="shared" si="64"/>
        <v>0</v>
      </c>
      <c r="EL8" s="143">
        <f t="shared" si="64"/>
        <v>4</v>
      </c>
    </row>
    <row r="9">
      <c r="A9" s="131" t="s">
        <v>65</v>
      </c>
      <c r="B9" s="132">
        <f t="shared" si="10"/>
        <v>0</v>
      </c>
      <c r="C9" s="144"/>
      <c r="D9" s="134">
        <f t="shared" si="11"/>
        <v>0</v>
      </c>
      <c r="E9" s="135">
        <f t="shared" si="12"/>
        <v>0</v>
      </c>
      <c r="F9" s="132">
        <f t="shared" si="13"/>
        <v>0</v>
      </c>
      <c r="G9" s="136">
        <f t="shared" si="14"/>
        <v>0</v>
      </c>
      <c r="H9" s="137">
        <v>50.0</v>
      </c>
      <c r="I9" s="137"/>
      <c r="J9" s="139">
        <f t="shared" si="15"/>
        <v>0</v>
      </c>
      <c r="K9" s="140">
        <f t="shared" si="16"/>
        <v>37</v>
      </c>
      <c r="L9" s="139">
        <v>200.0</v>
      </c>
      <c r="M9" s="139" t="s">
        <v>61</v>
      </c>
      <c r="N9" s="139"/>
      <c r="O9" s="139"/>
      <c r="P9" s="141"/>
      <c r="Q9" s="141"/>
      <c r="R9" s="141"/>
      <c r="S9" s="141"/>
      <c r="T9" s="141"/>
      <c r="U9" s="141"/>
      <c r="V9" s="141"/>
      <c r="W9" s="139"/>
      <c r="X9" s="139"/>
      <c r="Y9" s="139"/>
      <c r="Z9" s="139">
        <v>1.0</v>
      </c>
      <c r="AA9" s="139"/>
      <c r="AB9" s="141"/>
      <c r="AC9" s="141"/>
      <c r="AD9" s="141"/>
      <c r="AE9" s="141"/>
      <c r="AF9" s="141"/>
      <c r="AG9" s="141"/>
      <c r="AH9" s="141"/>
      <c r="AI9" s="141"/>
      <c r="AJ9" s="139"/>
      <c r="AK9" s="139"/>
      <c r="AL9" s="139"/>
      <c r="AM9" s="139"/>
      <c r="AN9" s="139"/>
      <c r="AO9" s="141"/>
      <c r="AP9" s="141"/>
      <c r="AQ9" s="139">
        <v>1.0</v>
      </c>
      <c r="AR9" s="141"/>
      <c r="AS9" s="139"/>
      <c r="AT9" s="141"/>
      <c r="AU9" s="141"/>
      <c r="AV9" s="141"/>
      <c r="AW9" s="139"/>
      <c r="AX9" s="139"/>
      <c r="AY9" s="139"/>
      <c r="AZ9" s="139"/>
      <c r="BA9" s="139"/>
      <c r="BB9" s="141"/>
      <c r="BC9" s="139">
        <v>1.0</v>
      </c>
      <c r="BD9" s="142"/>
      <c r="BE9" s="143">
        <f t="shared" si="17"/>
        <v>0</v>
      </c>
      <c r="BF9" s="143">
        <f t="shared" si="18"/>
        <v>0</v>
      </c>
      <c r="BG9" s="143">
        <f t="shared" ref="BG9:BT9" si="65">$G9*N9*IF($H9&gt;50,18,36)+$F9*N9*IF($H9&gt;50,4,8)+$E9*N9</f>
        <v>0</v>
      </c>
      <c r="BH9" s="143">
        <f t="shared" si="65"/>
        <v>0</v>
      </c>
      <c r="BI9" s="143">
        <f t="shared" si="65"/>
        <v>0</v>
      </c>
      <c r="BJ9" s="143">
        <f t="shared" si="65"/>
        <v>0</v>
      </c>
      <c r="BK9" s="143">
        <f t="shared" si="65"/>
        <v>0</v>
      </c>
      <c r="BL9" s="143">
        <f t="shared" si="65"/>
        <v>0</v>
      </c>
      <c r="BM9" s="143">
        <f t="shared" si="65"/>
        <v>0</v>
      </c>
      <c r="BN9" s="143">
        <f t="shared" si="65"/>
        <v>0</v>
      </c>
      <c r="BO9" s="143">
        <f t="shared" si="65"/>
        <v>0</v>
      </c>
      <c r="BP9" s="143">
        <f t="shared" si="65"/>
        <v>0</v>
      </c>
      <c r="BQ9" s="143">
        <f t="shared" si="65"/>
        <v>0</v>
      </c>
      <c r="BR9" s="143">
        <f t="shared" si="65"/>
        <v>0</v>
      </c>
      <c r="BS9" s="143">
        <f t="shared" si="65"/>
        <v>0</v>
      </c>
      <c r="BT9" s="143">
        <f t="shared" si="65"/>
        <v>0</v>
      </c>
      <c r="BU9" s="143">
        <f t="shared" si="20"/>
        <v>0</v>
      </c>
      <c r="BV9" s="143">
        <f t="shared" si="21"/>
        <v>0</v>
      </c>
      <c r="BW9" s="143">
        <f t="shared" ref="BW9:BX9" si="66">$G9*AD9*IF($H9&gt;50,18,36)+$F9*AD9*IF($H9&gt;50,4,8)+$E9*AD9</f>
        <v>0</v>
      </c>
      <c r="BX9" s="143">
        <f t="shared" si="66"/>
        <v>0</v>
      </c>
      <c r="BY9" s="143">
        <f t="shared" si="23"/>
        <v>0</v>
      </c>
      <c r="BZ9" s="143">
        <f t="shared" si="24"/>
        <v>0</v>
      </c>
      <c r="CA9" s="143">
        <f t="shared" si="25"/>
        <v>0</v>
      </c>
      <c r="CB9" s="143">
        <f t="shared" si="26"/>
        <v>0</v>
      </c>
      <c r="CC9" s="143">
        <f t="shared" si="27"/>
        <v>0</v>
      </c>
      <c r="CD9" s="143">
        <f t="shared" si="28"/>
        <v>0</v>
      </c>
      <c r="CE9" s="143">
        <f t="shared" si="29"/>
        <v>0</v>
      </c>
      <c r="CF9" s="143">
        <f t="shared" si="30"/>
        <v>0</v>
      </c>
      <c r="CG9" s="143">
        <f t="shared" si="31"/>
        <v>0</v>
      </c>
      <c r="CH9" s="143">
        <f t="shared" si="32"/>
        <v>0</v>
      </c>
      <c r="CI9" s="143">
        <f t="shared" si="33"/>
        <v>0</v>
      </c>
      <c r="CJ9" s="143">
        <f t="shared" si="34"/>
        <v>0</v>
      </c>
      <c r="CK9" s="143">
        <f t="shared" ref="CK9:CV9" si="67">$G9*AR9*IF($H9&gt;50,18,36)+$F9*AR9*IF($H9&gt;50,4,8)+$E9*AR9</f>
        <v>0</v>
      </c>
      <c r="CL9" s="143">
        <f t="shared" si="67"/>
        <v>0</v>
      </c>
      <c r="CM9" s="143">
        <f t="shared" si="67"/>
        <v>0</v>
      </c>
      <c r="CN9" s="143">
        <f t="shared" si="67"/>
        <v>0</v>
      </c>
      <c r="CO9" s="143">
        <f t="shared" si="67"/>
        <v>0</v>
      </c>
      <c r="CP9" s="143">
        <f t="shared" si="67"/>
        <v>0</v>
      </c>
      <c r="CQ9" s="143">
        <f t="shared" si="67"/>
        <v>0</v>
      </c>
      <c r="CR9" s="143">
        <f t="shared" si="67"/>
        <v>0</v>
      </c>
      <c r="CS9" s="143">
        <f t="shared" si="67"/>
        <v>0</v>
      </c>
      <c r="CT9" s="143">
        <f t="shared" si="67"/>
        <v>0</v>
      </c>
      <c r="CU9" s="143">
        <f t="shared" si="67"/>
        <v>0</v>
      </c>
      <c r="CV9" s="143">
        <f t="shared" si="67"/>
        <v>0</v>
      </c>
      <c r="CW9" s="143"/>
      <c r="CX9" s="143">
        <f t="shared" ref="CX9:DJ9" si="68">O9*BH$2/($H9/50)^2</f>
        <v>0</v>
      </c>
      <c r="CY9" s="143">
        <f t="shared" si="68"/>
        <v>0</v>
      </c>
      <c r="CZ9" s="143">
        <f t="shared" si="68"/>
        <v>0</v>
      </c>
      <c r="DA9" s="143">
        <f t="shared" si="68"/>
        <v>0</v>
      </c>
      <c r="DB9" s="143">
        <f t="shared" si="68"/>
        <v>0</v>
      </c>
      <c r="DC9" s="143">
        <f t="shared" si="68"/>
        <v>0</v>
      </c>
      <c r="DD9" s="143">
        <f t="shared" si="68"/>
        <v>0</v>
      </c>
      <c r="DE9" s="143">
        <f t="shared" si="68"/>
        <v>0</v>
      </c>
      <c r="DF9" s="143">
        <f t="shared" si="68"/>
        <v>0</v>
      </c>
      <c r="DG9" s="143">
        <f t="shared" si="68"/>
        <v>0</v>
      </c>
      <c r="DH9" s="143">
        <f t="shared" si="68"/>
        <v>0</v>
      </c>
      <c r="DI9" s="143">
        <f t="shared" si="68"/>
        <v>3</v>
      </c>
      <c r="DJ9" s="143">
        <f t="shared" si="68"/>
        <v>0</v>
      </c>
      <c r="DK9" s="143">
        <f t="shared" si="37"/>
        <v>0</v>
      </c>
      <c r="DL9" s="143">
        <f t="shared" si="38"/>
        <v>0</v>
      </c>
      <c r="DM9" s="143">
        <f t="shared" ref="DM9:DN9" si="69">AD9*BW$2/($H9/50)^2</f>
        <v>0</v>
      </c>
      <c r="DN9" s="143">
        <f t="shared" si="69"/>
        <v>0</v>
      </c>
      <c r="DO9" s="143">
        <f t="shared" si="40"/>
        <v>0</v>
      </c>
      <c r="DP9" s="143">
        <f t="shared" si="41"/>
        <v>0</v>
      </c>
      <c r="DQ9" s="143">
        <f t="shared" si="42"/>
        <v>0</v>
      </c>
      <c r="DR9" s="143">
        <f t="shared" si="43"/>
        <v>0</v>
      </c>
      <c r="DS9" s="143">
        <f t="shared" si="44"/>
        <v>0</v>
      </c>
      <c r="DT9" s="143">
        <f t="shared" si="45"/>
        <v>0</v>
      </c>
      <c r="DU9" s="143">
        <f t="shared" si="46"/>
        <v>0</v>
      </c>
      <c r="DV9" s="143">
        <f t="shared" si="47"/>
        <v>0</v>
      </c>
      <c r="DW9" s="143">
        <f t="shared" si="48"/>
        <v>0</v>
      </c>
      <c r="DX9" s="143">
        <f t="shared" si="49"/>
        <v>30</v>
      </c>
      <c r="DY9" s="143">
        <f t="shared" si="50"/>
        <v>0</v>
      </c>
      <c r="DZ9" s="143">
        <f t="shared" si="51"/>
        <v>0</v>
      </c>
      <c r="EA9" s="143">
        <f t="shared" ref="EA9:EL9" si="70">AR9*CK$2/($H9/50)^2</f>
        <v>0</v>
      </c>
      <c r="EB9" s="143">
        <f t="shared" si="70"/>
        <v>0</v>
      </c>
      <c r="EC9" s="143">
        <f t="shared" si="70"/>
        <v>0</v>
      </c>
      <c r="ED9" s="143">
        <f t="shared" si="70"/>
        <v>0</v>
      </c>
      <c r="EE9" s="143">
        <f t="shared" si="70"/>
        <v>0</v>
      </c>
      <c r="EF9" s="143">
        <f t="shared" si="70"/>
        <v>0</v>
      </c>
      <c r="EG9" s="143">
        <f t="shared" si="70"/>
        <v>0</v>
      </c>
      <c r="EH9" s="143">
        <f t="shared" si="70"/>
        <v>0</v>
      </c>
      <c r="EI9" s="143">
        <f t="shared" si="70"/>
        <v>0</v>
      </c>
      <c r="EJ9" s="143">
        <f t="shared" si="70"/>
        <v>0</v>
      </c>
      <c r="EK9" s="143">
        <f t="shared" si="70"/>
        <v>0</v>
      </c>
      <c r="EL9" s="143">
        <f t="shared" si="70"/>
        <v>4</v>
      </c>
    </row>
    <row r="10">
      <c r="A10" s="131" t="s">
        <v>66</v>
      </c>
      <c r="B10" s="132">
        <f t="shared" si="10"/>
        <v>61</v>
      </c>
      <c r="C10" s="144"/>
      <c r="D10" s="134">
        <f t="shared" si="11"/>
        <v>61</v>
      </c>
      <c r="E10" s="135">
        <f t="shared" si="12"/>
        <v>1</v>
      </c>
      <c r="F10" s="132">
        <f t="shared" si="13"/>
        <v>1</v>
      </c>
      <c r="G10" s="136">
        <f t="shared" si="14"/>
        <v>1</v>
      </c>
      <c r="H10" s="137">
        <v>50.0</v>
      </c>
      <c r="I10" s="137"/>
      <c r="J10" s="139">
        <f t="shared" si="15"/>
        <v>793</v>
      </c>
      <c r="K10" s="140">
        <f t="shared" si="16"/>
        <v>13</v>
      </c>
      <c r="L10" s="139" t="s">
        <v>61</v>
      </c>
      <c r="M10" s="139" t="s">
        <v>61</v>
      </c>
      <c r="N10" s="139"/>
      <c r="O10" s="139"/>
      <c r="P10" s="139">
        <v>1.0</v>
      </c>
      <c r="Q10" s="141"/>
      <c r="R10" s="141"/>
      <c r="S10" s="141"/>
      <c r="T10" s="141"/>
      <c r="U10" s="141"/>
      <c r="V10" s="141"/>
      <c r="W10" s="139"/>
      <c r="X10" s="139"/>
      <c r="Y10" s="139"/>
      <c r="Z10" s="139"/>
      <c r="AA10" s="139"/>
      <c r="AB10" s="141"/>
      <c r="AC10" s="141"/>
      <c r="AD10" s="141"/>
      <c r="AE10" s="141"/>
      <c r="AF10" s="141"/>
      <c r="AG10" s="141"/>
      <c r="AH10" s="141"/>
      <c r="AI10" s="141"/>
      <c r="AJ10" s="139"/>
      <c r="AK10" s="139"/>
      <c r="AL10" s="139"/>
      <c r="AM10" s="139"/>
      <c r="AN10" s="139"/>
      <c r="AO10" s="141"/>
      <c r="AP10" s="141"/>
      <c r="AQ10" s="139"/>
      <c r="AR10" s="141"/>
      <c r="AS10" s="139"/>
      <c r="AT10" s="141"/>
      <c r="AU10" s="141"/>
      <c r="AV10" s="139">
        <v>1.0</v>
      </c>
      <c r="AW10" s="139"/>
      <c r="AX10" s="139"/>
      <c r="AY10" s="139"/>
      <c r="AZ10" s="139"/>
      <c r="BA10" s="139"/>
      <c r="BB10" s="141"/>
      <c r="BC10" s="139">
        <v>1.0</v>
      </c>
      <c r="BD10" s="142"/>
      <c r="BE10" s="143">
        <f t="shared" si="17"/>
        <v>0</v>
      </c>
      <c r="BF10" s="143" t="str">
        <f t="shared" si="18"/>
        <v>-</v>
      </c>
      <c r="BG10" s="143">
        <f t="shared" ref="BG10:BT10" si="71">$G10*N10*IF($H10&gt;50,18,36)+$F10*N10*IF($H10&gt;50,4,8)+$E10*N10</f>
        <v>0</v>
      </c>
      <c r="BH10" s="143">
        <f t="shared" si="71"/>
        <v>0</v>
      </c>
      <c r="BI10" s="143">
        <f t="shared" si="71"/>
        <v>45</v>
      </c>
      <c r="BJ10" s="143">
        <f t="shared" si="71"/>
        <v>0</v>
      </c>
      <c r="BK10" s="143">
        <f t="shared" si="71"/>
        <v>0</v>
      </c>
      <c r="BL10" s="143">
        <f t="shared" si="71"/>
        <v>0</v>
      </c>
      <c r="BM10" s="143">
        <f t="shared" si="71"/>
        <v>0</v>
      </c>
      <c r="BN10" s="143">
        <f t="shared" si="71"/>
        <v>0</v>
      </c>
      <c r="BO10" s="143">
        <f t="shared" si="71"/>
        <v>0</v>
      </c>
      <c r="BP10" s="143">
        <f t="shared" si="71"/>
        <v>0</v>
      </c>
      <c r="BQ10" s="143">
        <f t="shared" si="71"/>
        <v>0</v>
      </c>
      <c r="BR10" s="143">
        <f t="shared" si="71"/>
        <v>0</v>
      </c>
      <c r="BS10" s="143">
        <f t="shared" si="71"/>
        <v>0</v>
      </c>
      <c r="BT10" s="143">
        <f t="shared" si="71"/>
        <v>0</v>
      </c>
      <c r="BU10" s="143">
        <f t="shared" si="20"/>
        <v>0</v>
      </c>
      <c r="BV10" s="143">
        <f t="shared" si="21"/>
        <v>0</v>
      </c>
      <c r="BW10" s="143">
        <f t="shared" ref="BW10:BX10" si="72">$G10*AD10*IF($H10&gt;50,18,36)+$F10*AD10*IF($H10&gt;50,4,8)+$E10*AD10</f>
        <v>0</v>
      </c>
      <c r="BX10" s="143">
        <f t="shared" si="72"/>
        <v>0</v>
      </c>
      <c r="BY10" s="143">
        <f t="shared" si="23"/>
        <v>0</v>
      </c>
      <c r="BZ10" s="143">
        <f t="shared" si="24"/>
        <v>0</v>
      </c>
      <c r="CA10" s="143">
        <f t="shared" si="25"/>
        <v>0</v>
      </c>
      <c r="CB10" s="143">
        <f t="shared" si="26"/>
        <v>0</v>
      </c>
      <c r="CC10" s="143">
        <f t="shared" si="27"/>
        <v>0</v>
      </c>
      <c r="CD10" s="143">
        <f t="shared" si="28"/>
        <v>0</v>
      </c>
      <c r="CE10" s="143">
        <f t="shared" si="29"/>
        <v>0</v>
      </c>
      <c r="CF10" s="143">
        <f t="shared" si="30"/>
        <v>0</v>
      </c>
      <c r="CG10" s="143">
        <f t="shared" si="31"/>
        <v>0</v>
      </c>
      <c r="CH10" s="143">
        <f t="shared" si="32"/>
        <v>0</v>
      </c>
      <c r="CI10" s="143">
        <f t="shared" si="33"/>
        <v>0</v>
      </c>
      <c r="CJ10" s="143">
        <f t="shared" si="34"/>
        <v>0</v>
      </c>
      <c r="CK10" s="143">
        <f t="shared" ref="CK10:CV10" si="73">$G10*AR10*IF($H10&gt;50,18,36)+$F10*AR10*IF($H10&gt;50,4,8)+$E10*AR10</f>
        <v>0</v>
      </c>
      <c r="CL10" s="143">
        <f t="shared" si="73"/>
        <v>0</v>
      </c>
      <c r="CM10" s="143">
        <f t="shared" si="73"/>
        <v>0</v>
      </c>
      <c r="CN10" s="143">
        <f t="shared" si="73"/>
        <v>0</v>
      </c>
      <c r="CO10" s="143">
        <f t="shared" si="73"/>
        <v>45</v>
      </c>
      <c r="CP10" s="143">
        <f t="shared" si="73"/>
        <v>0</v>
      </c>
      <c r="CQ10" s="143">
        <f t="shared" si="73"/>
        <v>0</v>
      </c>
      <c r="CR10" s="143">
        <f t="shared" si="73"/>
        <v>0</v>
      </c>
      <c r="CS10" s="143">
        <f t="shared" si="73"/>
        <v>0</v>
      </c>
      <c r="CT10" s="143">
        <f t="shared" si="73"/>
        <v>0</v>
      </c>
      <c r="CU10" s="143">
        <f t="shared" si="73"/>
        <v>0</v>
      </c>
      <c r="CV10" s="143">
        <f t="shared" si="73"/>
        <v>45</v>
      </c>
      <c r="CW10" s="143"/>
      <c r="CX10" s="143">
        <f t="shared" ref="CX10:DJ10" si="74">O10*BH$2/($H10/50)^2</f>
        <v>0</v>
      </c>
      <c r="CY10" s="143">
        <f t="shared" si="74"/>
        <v>3</v>
      </c>
      <c r="CZ10" s="143">
        <f t="shared" si="74"/>
        <v>0</v>
      </c>
      <c r="DA10" s="143">
        <f t="shared" si="74"/>
        <v>0</v>
      </c>
      <c r="DB10" s="143">
        <f t="shared" si="74"/>
        <v>0</v>
      </c>
      <c r="DC10" s="143">
        <f t="shared" si="74"/>
        <v>0</v>
      </c>
      <c r="DD10" s="143">
        <f t="shared" si="74"/>
        <v>0</v>
      </c>
      <c r="DE10" s="143">
        <f t="shared" si="74"/>
        <v>0</v>
      </c>
      <c r="DF10" s="143">
        <f t="shared" si="74"/>
        <v>0</v>
      </c>
      <c r="DG10" s="143">
        <f t="shared" si="74"/>
        <v>0</v>
      </c>
      <c r="DH10" s="143">
        <f t="shared" si="74"/>
        <v>0</v>
      </c>
      <c r="DI10" s="143">
        <f t="shared" si="74"/>
        <v>0</v>
      </c>
      <c r="DJ10" s="143">
        <f t="shared" si="74"/>
        <v>0</v>
      </c>
      <c r="DK10" s="143">
        <f t="shared" si="37"/>
        <v>0</v>
      </c>
      <c r="DL10" s="143">
        <f t="shared" si="38"/>
        <v>0</v>
      </c>
      <c r="DM10" s="143">
        <f t="shared" ref="DM10:DN10" si="75">AD10*BW$2/($H10/50)^2</f>
        <v>0</v>
      </c>
      <c r="DN10" s="143">
        <f t="shared" si="75"/>
        <v>0</v>
      </c>
      <c r="DO10" s="143">
        <f t="shared" si="40"/>
        <v>0</v>
      </c>
      <c r="DP10" s="143">
        <f t="shared" si="41"/>
        <v>0</v>
      </c>
      <c r="DQ10" s="143">
        <f t="shared" si="42"/>
        <v>0</v>
      </c>
      <c r="DR10" s="143">
        <f t="shared" si="43"/>
        <v>0</v>
      </c>
      <c r="DS10" s="143">
        <f t="shared" si="44"/>
        <v>0</v>
      </c>
      <c r="DT10" s="143">
        <f t="shared" si="45"/>
        <v>0</v>
      </c>
      <c r="DU10" s="143">
        <f t="shared" si="46"/>
        <v>0</v>
      </c>
      <c r="DV10" s="143">
        <f t="shared" si="47"/>
        <v>0</v>
      </c>
      <c r="DW10" s="143">
        <f t="shared" si="48"/>
        <v>0</v>
      </c>
      <c r="DX10" s="143">
        <f t="shared" si="49"/>
        <v>0</v>
      </c>
      <c r="DY10" s="143">
        <f t="shared" si="50"/>
        <v>0</v>
      </c>
      <c r="DZ10" s="143">
        <f t="shared" si="51"/>
        <v>0</v>
      </c>
      <c r="EA10" s="143">
        <f t="shared" ref="EA10:EL10" si="76">AR10*CK$2/($H10/50)^2</f>
        <v>0</v>
      </c>
      <c r="EB10" s="143">
        <f t="shared" si="76"/>
        <v>0</v>
      </c>
      <c r="EC10" s="143">
        <f t="shared" si="76"/>
        <v>0</v>
      </c>
      <c r="ED10" s="143">
        <f t="shared" si="76"/>
        <v>0</v>
      </c>
      <c r="EE10" s="143">
        <f t="shared" si="76"/>
        <v>6</v>
      </c>
      <c r="EF10" s="143">
        <f t="shared" si="76"/>
        <v>0</v>
      </c>
      <c r="EG10" s="143">
        <f t="shared" si="76"/>
        <v>0</v>
      </c>
      <c r="EH10" s="143">
        <f t="shared" si="76"/>
        <v>0</v>
      </c>
      <c r="EI10" s="143">
        <f t="shared" si="76"/>
        <v>0</v>
      </c>
      <c r="EJ10" s="143">
        <f t="shared" si="76"/>
        <v>0</v>
      </c>
      <c r="EK10" s="143">
        <f t="shared" si="76"/>
        <v>0</v>
      </c>
      <c r="EL10" s="143">
        <f t="shared" si="76"/>
        <v>4</v>
      </c>
    </row>
    <row r="11">
      <c r="A11" s="145" t="s">
        <v>67</v>
      </c>
      <c r="B11" s="132">
        <f t="shared" si="10"/>
        <v>0</v>
      </c>
      <c r="C11" s="146">
        <v>15.0</v>
      </c>
      <c r="D11" s="134">
        <f t="shared" si="11"/>
        <v>15</v>
      </c>
      <c r="E11" s="135">
        <f t="shared" si="12"/>
        <v>15</v>
      </c>
      <c r="F11" s="132">
        <f t="shared" si="13"/>
        <v>0</v>
      </c>
      <c r="G11" s="136">
        <f t="shared" si="14"/>
        <v>0</v>
      </c>
      <c r="H11" s="137">
        <v>100.0</v>
      </c>
      <c r="I11" s="138" t="str">
        <f t="shared" ref="I11:I18" si="83">$A$7</f>
        <v>Gum Base</v>
      </c>
      <c r="J11" s="139">
        <f t="shared" si="15"/>
        <v>195</v>
      </c>
      <c r="K11" s="140">
        <f t="shared" si="16"/>
        <v>13</v>
      </c>
      <c r="L11" s="139" t="s">
        <v>61</v>
      </c>
      <c r="M11" s="139" t="s">
        <v>61</v>
      </c>
      <c r="N11" s="139">
        <v>1.0</v>
      </c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39">
        <v>1.0</v>
      </c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2"/>
      <c r="BE11" s="143">
        <f t="shared" si="17"/>
        <v>0</v>
      </c>
      <c r="BF11" s="143" t="str">
        <f t="shared" si="18"/>
        <v>-</v>
      </c>
      <c r="BG11" s="143">
        <f t="shared" ref="BG11:BT11" si="77">$G11*N11*IF($H11&gt;50,18,36)+$F11*N11*IF($H11&gt;50,4,8)+$E11*N11</f>
        <v>15</v>
      </c>
      <c r="BH11" s="143">
        <f t="shared" si="77"/>
        <v>0</v>
      </c>
      <c r="BI11" s="143">
        <f t="shared" si="77"/>
        <v>0</v>
      </c>
      <c r="BJ11" s="143">
        <f t="shared" si="77"/>
        <v>0</v>
      </c>
      <c r="BK11" s="143">
        <f t="shared" si="77"/>
        <v>0</v>
      </c>
      <c r="BL11" s="143">
        <f t="shared" si="77"/>
        <v>0</v>
      </c>
      <c r="BM11" s="143">
        <f t="shared" si="77"/>
        <v>0</v>
      </c>
      <c r="BN11" s="143">
        <f t="shared" si="77"/>
        <v>0</v>
      </c>
      <c r="BO11" s="143">
        <f t="shared" si="77"/>
        <v>0</v>
      </c>
      <c r="BP11" s="143">
        <f t="shared" si="77"/>
        <v>0</v>
      </c>
      <c r="BQ11" s="143">
        <f t="shared" si="77"/>
        <v>0</v>
      </c>
      <c r="BR11" s="143">
        <f t="shared" si="77"/>
        <v>0</v>
      </c>
      <c r="BS11" s="143">
        <f t="shared" si="77"/>
        <v>15</v>
      </c>
      <c r="BT11" s="143">
        <f t="shared" si="77"/>
        <v>0</v>
      </c>
      <c r="BU11" s="143">
        <f t="shared" si="20"/>
        <v>0</v>
      </c>
      <c r="BV11" s="143">
        <f t="shared" si="21"/>
        <v>0</v>
      </c>
      <c r="BW11" s="143">
        <f t="shared" ref="BW11:BX11" si="78">$G11*AD11*IF($H11&gt;50,18,36)+$F11*AD11*IF($H11&gt;50,4,8)+$E11*AD11</f>
        <v>0</v>
      </c>
      <c r="BX11" s="143">
        <f t="shared" si="78"/>
        <v>0</v>
      </c>
      <c r="BY11" s="143">
        <f t="shared" si="23"/>
        <v>0</v>
      </c>
      <c r="BZ11" s="143">
        <f t="shared" si="24"/>
        <v>0</v>
      </c>
      <c r="CA11" s="143">
        <f t="shared" si="25"/>
        <v>0</v>
      </c>
      <c r="CB11" s="143">
        <f t="shared" si="26"/>
        <v>0</v>
      </c>
      <c r="CC11" s="143">
        <f t="shared" si="27"/>
        <v>0</v>
      </c>
      <c r="CD11" s="143">
        <f t="shared" si="28"/>
        <v>0</v>
      </c>
      <c r="CE11" s="143">
        <f t="shared" si="29"/>
        <v>0</v>
      </c>
      <c r="CF11" s="143">
        <f t="shared" si="30"/>
        <v>0</v>
      </c>
      <c r="CG11" s="143">
        <f t="shared" si="31"/>
        <v>0</v>
      </c>
      <c r="CH11" s="143">
        <f t="shared" si="32"/>
        <v>0</v>
      </c>
      <c r="CI11" s="143">
        <f t="shared" si="33"/>
        <v>0</v>
      </c>
      <c r="CJ11" s="143">
        <f t="shared" si="34"/>
        <v>0</v>
      </c>
      <c r="CK11" s="143">
        <f t="shared" ref="CK11:CV11" si="79">$G11*AR11*IF($H11&gt;50,18,36)+$F11*AR11*IF($H11&gt;50,4,8)+$E11*AR11</f>
        <v>0</v>
      </c>
      <c r="CL11" s="143">
        <f t="shared" si="79"/>
        <v>0</v>
      </c>
      <c r="CM11" s="143">
        <f t="shared" si="79"/>
        <v>0</v>
      </c>
      <c r="CN11" s="143">
        <f t="shared" si="79"/>
        <v>0</v>
      </c>
      <c r="CO11" s="143">
        <f t="shared" si="79"/>
        <v>0</v>
      </c>
      <c r="CP11" s="143">
        <f t="shared" si="79"/>
        <v>0</v>
      </c>
      <c r="CQ11" s="143">
        <f t="shared" si="79"/>
        <v>0</v>
      </c>
      <c r="CR11" s="143">
        <f t="shared" si="79"/>
        <v>0</v>
      </c>
      <c r="CS11" s="143">
        <f t="shared" si="79"/>
        <v>0</v>
      </c>
      <c r="CT11" s="143">
        <f t="shared" si="79"/>
        <v>0</v>
      </c>
      <c r="CU11" s="143">
        <f t="shared" si="79"/>
        <v>0</v>
      </c>
      <c r="CV11" s="143">
        <f t="shared" si="79"/>
        <v>0</v>
      </c>
      <c r="CW11" s="143"/>
      <c r="CX11" s="143">
        <f t="shared" ref="CX11:DJ11" si="80">O11*BH$2/($H11/50)^2</f>
        <v>0</v>
      </c>
      <c r="CY11" s="143">
        <f t="shared" si="80"/>
        <v>0</v>
      </c>
      <c r="CZ11" s="143">
        <f t="shared" si="80"/>
        <v>0</v>
      </c>
      <c r="DA11" s="143">
        <f t="shared" si="80"/>
        <v>0</v>
      </c>
      <c r="DB11" s="143">
        <f t="shared" si="80"/>
        <v>0</v>
      </c>
      <c r="DC11" s="143">
        <f t="shared" si="80"/>
        <v>0</v>
      </c>
      <c r="DD11" s="143">
        <f t="shared" si="80"/>
        <v>0</v>
      </c>
      <c r="DE11" s="143">
        <f t="shared" si="80"/>
        <v>0</v>
      </c>
      <c r="DF11" s="143">
        <f t="shared" si="80"/>
        <v>0</v>
      </c>
      <c r="DG11" s="143">
        <f t="shared" si="80"/>
        <v>0</v>
      </c>
      <c r="DH11" s="143">
        <f t="shared" si="80"/>
        <v>0</v>
      </c>
      <c r="DI11" s="143">
        <f t="shared" si="80"/>
        <v>0.75</v>
      </c>
      <c r="DJ11" s="143">
        <f t="shared" si="80"/>
        <v>0</v>
      </c>
      <c r="DK11" s="143">
        <f t="shared" si="37"/>
        <v>0</v>
      </c>
      <c r="DL11" s="143">
        <f t="shared" si="38"/>
        <v>0</v>
      </c>
      <c r="DM11" s="143">
        <f t="shared" ref="DM11:DN11" si="81">AD11*BW$2/($H11/50)^2</f>
        <v>0</v>
      </c>
      <c r="DN11" s="143">
        <f t="shared" si="81"/>
        <v>0</v>
      </c>
      <c r="DO11" s="143">
        <f t="shared" si="40"/>
        <v>0</v>
      </c>
      <c r="DP11" s="143">
        <f t="shared" si="41"/>
        <v>0</v>
      </c>
      <c r="DQ11" s="143">
        <f t="shared" si="42"/>
        <v>0</v>
      </c>
      <c r="DR11" s="143">
        <f t="shared" si="43"/>
        <v>0</v>
      </c>
      <c r="DS11" s="143">
        <f t="shared" si="44"/>
        <v>0</v>
      </c>
      <c r="DT11" s="143">
        <f t="shared" si="45"/>
        <v>0</v>
      </c>
      <c r="DU11" s="143">
        <f t="shared" si="46"/>
        <v>0</v>
      </c>
      <c r="DV11" s="143">
        <f t="shared" si="47"/>
        <v>0</v>
      </c>
      <c r="DW11" s="143">
        <f t="shared" si="48"/>
        <v>0</v>
      </c>
      <c r="DX11" s="143">
        <f t="shared" si="49"/>
        <v>0</v>
      </c>
      <c r="DY11" s="143">
        <f t="shared" si="50"/>
        <v>0</v>
      </c>
      <c r="DZ11" s="143">
        <f t="shared" si="51"/>
        <v>0</v>
      </c>
      <c r="EA11" s="143">
        <f t="shared" ref="EA11:EL11" si="82">AR11*CK$2/($H11/50)^2</f>
        <v>0</v>
      </c>
      <c r="EB11" s="143">
        <f t="shared" si="82"/>
        <v>0</v>
      </c>
      <c r="EC11" s="143">
        <f t="shared" si="82"/>
        <v>0</v>
      </c>
      <c r="ED11" s="143">
        <f t="shared" si="82"/>
        <v>0</v>
      </c>
      <c r="EE11" s="143">
        <f t="shared" si="82"/>
        <v>0</v>
      </c>
      <c r="EF11" s="143">
        <f t="shared" si="82"/>
        <v>0</v>
      </c>
      <c r="EG11" s="143">
        <f t="shared" si="82"/>
        <v>0</v>
      </c>
      <c r="EH11" s="143">
        <f t="shared" si="82"/>
        <v>0</v>
      </c>
      <c r="EI11" s="143">
        <f t="shared" si="82"/>
        <v>0</v>
      </c>
      <c r="EJ11" s="143">
        <f t="shared" si="82"/>
        <v>0</v>
      </c>
      <c r="EK11" s="143">
        <f t="shared" si="82"/>
        <v>0</v>
      </c>
      <c r="EL11" s="143">
        <f t="shared" si="82"/>
        <v>0</v>
      </c>
    </row>
    <row r="12">
      <c r="A12" s="145" t="s">
        <v>68</v>
      </c>
      <c r="B12" s="132">
        <f t="shared" si="10"/>
        <v>0</v>
      </c>
      <c r="C12" s="147">
        <v>10.0</v>
      </c>
      <c r="D12" s="134">
        <f t="shared" si="11"/>
        <v>10</v>
      </c>
      <c r="E12" s="135">
        <f t="shared" si="12"/>
        <v>10</v>
      </c>
      <c r="F12" s="132">
        <f t="shared" si="13"/>
        <v>0</v>
      </c>
      <c r="G12" s="136">
        <f t="shared" si="14"/>
        <v>0</v>
      </c>
      <c r="H12" s="137">
        <v>100.0</v>
      </c>
      <c r="I12" s="138" t="str">
        <f t="shared" si="83"/>
        <v>Gum Base</v>
      </c>
      <c r="J12" s="139">
        <f t="shared" si="15"/>
        <v>220</v>
      </c>
      <c r="K12" s="140">
        <f t="shared" si="16"/>
        <v>22</v>
      </c>
      <c r="L12" s="139" t="s">
        <v>61</v>
      </c>
      <c r="M12" s="139" t="s">
        <v>61</v>
      </c>
      <c r="N12" s="139">
        <v>1.0</v>
      </c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39">
        <v>1.0</v>
      </c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2"/>
      <c r="BE12" s="143">
        <f t="shared" si="17"/>
        <v>0</v>
      </c>
      <c r="BF12" s="143" t="str">
        <f t="shared" si="18"/>
        <v>-</v>
      </c>
      <c r="BG12" s="143">
        <f t="shared" ref="BG12:BT12" si="84">$G12*N12*IF($H12&gt;50,18,36)+$F12*N12*IF($H12&gt;50,4,8)+$E12*N12</f>
        <v>10</v>
      </c>
      <c r="BH12" s="143">
        <f t="shared" si="84"/>
        <v>0</v>
      </c>
      <c r="BI12" s="143">
        <f t="shared" si="84"/>
        <v>0</v>
      </c>
      <c r="BJ12" s="143">
        <f t="shared" si="84"/>
        <v>0</v>
      </c>
      <c r="BK12" s="143">
        <f t="shared" si="84"/>
        <v>0</v>
      </c>
      <c r="BL12" s="143">
        <f t="shared" si="84"/>
        <v>0</v>
      </c>
      <c r="BM12" s="143">
        <f t="shared" si="84"/>
        <v>0</v>
      </c>
      <c r="BN12" s="143">
        <f t="shared" si="84"/>
        <v>0</v>
      </c>
      <c r="BO12" s="143">
        <f t="shared" si="84"/>
        <v>0</v>
      </c>
      <c r="BP12" s="143">
        <f t="shared" si="84"/>
        <v>0</v>
      </c>
      <c r="BQ12" s="143">
        <f t="shared" si="84"/>
        <v>0</v>
      </c>
      <c r="BR12" s="143">
        <f t="shared" si="84"/>
        <v>0</v>
      </c>
      <c r="BS12" s="143">
        <f t="shared" si="84"/>
        <v>0</v>
      </c>
      <c r="BT12" s="143">
        <f t="shared" si="84"/>
        <v>0</v>
      </c>
      <c r="BU12" s="143">
        <f t="shared" si="20"/>
        <v>0</v>
      </c>
      <c r="BV12" s="143">
        <f t="shared" si="21"/>
        <v>0</v>
      </c>
      <c r="BW12" s="143">
        <f t="shared" ref="BW12:BX12" si="85">$G12*AD12*IF($H12&gt;50,18,36)+$F12*AD12*IF($H12&gt;50,4,8)+$E12*AD12</f>
        <v>0</v>
      </c>
      <c r="BX12" s="143">
        <f t="shared" si="85"/>
        <v>0</v>
      </c>
      <c r="BY12" s="143">
        <f t="shared" si="23"/>
        <v>0</v>
      </c>
      <c r="BZ12" s="143">
        <f t="shared" si="24"/>
        <v>0</v>
      </c>
      <c r="CA12" s="143">
        <f t="shared" si="25"/>
        <v>0</v>
      </c>
      <c r="CB12" s="143">
        <f t="shared" si="26"/>
        <v>10</v>
      </c>
      <c r="CC12" s="143">
        <f t="shared" si="27"/>
        <v>0</v>
      </c>
      <c r="CD12" s="143">
        <f t="shared" si="28"/>
        <v>0</v>
      </c>
      <c r="CE12" s="143">
        <f t="shared" si="29"/>
        <v>0</v>
      </c>
      <c r="CF12" s="143">
        <f t="shared" si="30"/>
        <v>0</v>
      </c>
      <c r="CG12" s="143">
        <f t="shared" si="31"/>
        <v>0</v>
      </c>
      <c r="CH12" s="143">
        <f t="shared" si="32"/>
        <v>0</v>
      </c>
      <c r="CI12" s="143">
        <f t="shared" si="33"/>
        <v>0</v>
      </c>
      <c r="CJ12" s="143">
        <f t="shared" si="34"/>
        <v>0</v>
      </c>
      <c r="CK12" s="143">
        <f t="shared" ref="CK12:CV12" si="86">$G12*AR12*IF($H12&gt;50,18,36)+$F12*AR12*IF($H12&gt;50,4,8)+$E12*AR12</f>
        <v>0</v>
      </c>
      <c r="CL12" s="143">
        <f t="shared" si="86"/>
        <v>0</v>
      </c>
      <c r="CM12" s="143">
        <f t="shared" si="86"/>
        <v>0</v>
      </c>
      <c r="CN12" s="143">
        <f t="shared" si="86"/>
        <v>0</v>
      </c>
      <c r="CO12" s="143">
        <f t="shared" si="86"/>
        <v>0</v>
      </c>
      <c r="CP12" s="143">
        <f t="shared" si="86"/>
        <v>0</v>
      </c>
      <c r="CQ12" s="143">
        <f t="shared" si="86"/>
        <v>0</v>
      </c>
      <c r="CR12" s="143">
        <f t="shared" si="86"/>
        <v>0</v>
      </c>
      <c r="CS12" s="143">
        <f t="shared" si="86"/>
        <v>0</v>
      </c>
      <c r="CT12" s="143">
        <f t="shared" si="86"/>
        <v>0</v>
      </c>
      <c r="CU12" s="143">
        <f t="shared" si="86"/>
        <v>0</v>
      </c>
      <c r="CV12" s="143">
        <f t="shared" si="86"/>
        <v>0</v>
      </c>
      <c r="CW12" s="143"/>
      <c r="CX12" s="143">
        <f t="shared" ref="CX12:DJ12" si="87">O12*BH$2/($H12/50)^2</f>
        <v>0</v>
      </c>
      <c r="CY12" s="143">
        <f t="shared" si="87"/>
        <v>0</v>
      </c>
      <c r="CZ12" s="143">
        <f t="shared" si="87"/>
        <v>0</v>
      </c>
      <c r="DA12" s="143">
        <f t="shared" si="87"/>
        <v>0</v>
      </c>
      <c r="DB12" s="143">
        <f t="shared" si="87"/>
        <v>0</v>
      </c>
      <c r="DC12" s="143">
        <f t="shared" si="87"/>
        <v>0</v>
      </c>
      <c r="DD12" s="143">
        <f t="shared" si="87"/>
        <v>0</v>
      </c>
      <c r="DE12" s="143">
        <f t="shared" si="87"/>
        <v>0</v>
      </c>
      <c r="DF12" s="143">
        <f t="shared" si="87"/>
        <v>0</v>
      </c>
      <c r="DG12" s="143">
        <f t="shared" si="87"/>
        <v>0</v>
      </c>
      <c r="DH12" s="143">
        <f t="shared" si="87"/>
        <v>0</v>
      </c>
      <c r="DI12" s="143">
        <f t="shared" si="87"/>
        <v>0</v>
      </c>
      <c r="DJ12" s="143">
        <f t="shared" si="87"/>
        <v>0</v>
      </c>
      <c r="DK12" s="143">
        <f t="shared" si="37"/>
        <v>0</v>
      </c>
      <c r="DL12" s="143">
        <f t="shared" si="38"/>
        <v>0</v>
      </c>
      <c r="DM12" s="143">
        <f t="shared" ref="DM12:DN12" si="88">AD12*BW$2/($H12/50)^2</f>
        <v>0</v>
      </c>
      <c r="DN12" s="143">
        <f t="shared" si="88"/>
        <v>0</v>
      </c>
      <c r="DO12" s="143">
        <f t="shared" si="40"/>
        <v>0</v>
      </c>
      <c r="DP12" s="143">
        <f t="shared" si="41"/>
        <v>0</v>
      </c>
      <c r="DQ12" s="143">
        <f t="shared" si="42"/>
        <v>0</v>
      </c>
      <c r="DR12" s="143">
        <f t="shared" si="43"/>
        <v>10</v>
      </c>
      <c r="DS12" s="143">
        <f t="shared" si="44"/>
        <v>0</v>
      </c>
      <c r="DT12" s="143">
        <f t="shared" si="45"/>
        <v>0</v>
      </c>
      <c r="DU12" s="143">
        <f t="shared" si="46"/>
        <v>0</v>
      </c>
      <c r="DV12" s="143">
        <f t="shared" si="47"/>
        <v>0</v>
      </c>
      <c r="DW12" s="143">
        <f t="shared" si="48"/>
        <v>0</v>
      </c>
      <c r="DX12" s="143">
        <f t="shared" si="49"/>
        <v>0</v>
      </c>
      <c r="DY12" s="143">
        <f t="shared" si="50"/>
        <v>0</v>
      </c>
      <c r="DZ12" s="143">
        <f t="shared" si="51"/>
        <v>0</v>
      </c>
      <c r="EA12" s="143">
        <f t="shared" ref="EA12:EL12" si="89">AR12*CK$2/($H12/50)^2</f>
        <v>0</v>
      </c>
      <c r="EB12" s="143">
        <f t="shared" si="89"/>
        <v>0</v>
      </c>
      <c r="EC12" s="143">
        <f t="shared" si="89"/>
        <v>0</v>
      </c>
      <c r="ED12" s="143">
        <f t="shared" si="89"/>
        <v>0</v>
      </c>
      <c r="EE12" s="143">
        <f t="shared" si="89"/>
        <v>0</v>
      </c>
      <c r="EF12" s="143">
        <f t="shared" si="89"/>
        <v>0</v>
      </c>
      <c r="EG12" s="143">
        <f t="shared" si="89"/>
        <v>0</v>
      </c>
      <c r="EH12" s="143">
        <f t="shared" si="89"/>
        <v>0</v>
      </c>
      <c r="EI12" s="143">
        <f t="shared" si="89"/>
        <v>0</v>
      </c>
      <c r="EJ12" s="143">
        <f t="shared" si="89"/>
        <v>0</v>
      </c>
      <c r="EK12" s="143">
        <f t="shared" si="89"/>
        <v>0</v>
      </c>
      <c r="EL12" s="143">
        <f t="shared" si="89"/>
        <v>0</v>
      </c>
    </row>
    <row r="13">
      <c r="A13" s="145" t="s">
        <v>69</v>
      </c>
      <c r="B13" s="132">
        <f t="shared" si="10"/>
        <v>0</v>
      </c>
      <c r="C13" s="147"/>
      <c r="D13" s="134">
        <f t="shared" si="11"/>
        <v>0</v>
      </c>
      <c r="E13" s="135">
        <f t="shared" si="12"/>
        <v>0</v>
      </c>
      <c r="F13" s="132">
        <f t="shared" si="13"/>
        <v>0</v>
      </c>
      <c r="G13" s="136">
        <f t="shared" si="14"/>
        <v>0</v>
      </c>
      <c r="H13" s="137">
        <v>100.0</v>
      </c>
      <c r="I13" s="138" t="str">
        <f t="shared" si="83"/>
        <v>Gum Base</v>
      </c>
      <c r="J13" s="139">
        <f t="shared" si="15"/>
        <v>0</v>
      </c>
      <c r="K13" s="140">
        <f t="shared" si="16"/>
        <v>13</v>
      </c>
      <c r="L13" s="139" t="s">
        <v>61</v>
      </c>
      <c r="M13" s="139" t="s">
        <v>61</v>
      </c>
      <c r="N13" s="139">
        <v>1.0</v>
      </c>
      <c r="O13" s="141"/>
      <c r="P13" s="141"/>
      <c r="Q13" s="141"/>
      <c r="R13" s="141"/>
      <c r="S13" s="141"/>
      <c r="T13" s="141"/>
      <c r="U13" s="141"/>
      <c r="V13" s="141"/>
      <c r="W13" s="141"/>
      <c r="X13" s="139">
        <v>1.0</v>
      </c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2"/>
      <c r="BE13" s="143">
        <f t="shared" si="17"/>
        <v>0</v>
      </c>
      <c r="BF13" s="143">
        <f t="shared" si="18"/>
        <v>0</v>
      </c>
      <c r="BG13" s="143">
        <f t="shared" ref="BG13:BT13" si="90">$G13*N13*IF($H13&gt;50,18,36)+$F13*N13*IF($H13&gt;50,4,8)+$E13*N13</f>
        <v>0</v>
      </c>
      <c r="BH13" s="143">
        <f t="shared" si="90"/>
        <v>0</v>
      </c>
      <c r="BI13" s="143">
        <f t="shared" si="90"/>
        <v>0</v>
      </c>
      <c r="BJ13" s="143">
        <f t="shared" si="90"/>
        <v>0</v>
      </c>
      <c r="BK13" s="143">
        <f t="shared" si="90"/>
        <v>0</v>
      </c>
      <c r="BL13" s="143">
        <f t="shared" si="90"/>
        <v>0</v>
      </c>
      <c r="BM13" s="143">
        <f t="shared" si="90"/>
        <v>0</v>
      </c>
      <c r="BN13" s="143">
        <f t="shared" si="90"/>
        <v>0</v>
      </c>
      <c r="BO13" s="143">
        <f t="shared" si="90"/>
        <v>0</v>
      </c>
      <c r="BP13" s="143">
        <f t="shared" si="90"/>
        <v>0</v>
      </c>
      <c r="BQ13" s="143">
        <f t="shared" si="90"/>
        <v>0</v>
      </c>
      <c r="BR13" s="143">
        <f t="shared" si="90"/>
        <v>0</v>
      </c>
      <c r="BS13" s="143">
        <f t="shared" si="90"/>
        <v>0</v>
      </c>
      <c r="BT13" s="143">
        <f t="shared" si="90"/>
        <v>0</v>
      </c>
      <c r="BU13" s="143">
        <f t="shared" si="20"/>
        <v>0</v>
      </c>
      <c r="BV13" s="143">
        <f t="shared" si="21"/>
        <v>0</v>
      </c>
      <c r="BW13" s="143">
        <f t="shared" ref="BW13:BX13" si="91">$G13*AD13*IF($H13&gt;50,18,36)+$F13*AD13*IF($H13&gt;50,4,8)+$E13*AD13</f>
        <v>0</v>
      </c>
      <c r="BX13" s="143">
        <f t="shared" si="91"/>
        <v>0</v>
      </c>
      <c r="BY13" s="143">
        <f t="shared" si="23"/>
        <v>0</v>
      </c>
      <c r="BZ13" s="143">
        <f t="shared" si="24"/>
        <v>0</v>
      </c>
      <c r="CA13" s="143">
        <f t="shared" si="25"/>
        <v>0</v>
      </c>
      <c r="CB13" s="143">
        <f t="shared" si="26"/>
        <v>0</v>
      </c>
      <c r="CC13" s="143">
        <f t="shared" si="27"/>
        <v>0</v>
      </c>
      <c r="CD13" s="143">
        <f t="shared" si="28"/>
        <v>0</v>
      </c>
      <c r="CE13" s="143">
        <f t="shared" si="29"/>
        <v>0</v>
      </c>
      <c r="CF13" s="143">
        <f t="shared" si="30"/>
        <v>0</v>
      </c>
      <c r="CG13" s="143">
        <f t="shared" si="31"/>
        <v>0</v>
      </c>
      <c r="CH13" s="143">
        <f t="shared" si="32"/>
        <v>0</v>
      </c>
      <c r="CI13" s="143">
        <f t="shared" si="33"/>
        <v>0</v>
      </c>
      <c r="CJ13" s="143">
        <f t="shared" si="34"/>
        <v>0</v>
      </c>
      <c r="CK13" s="143">
        <f t="shared" ref="CK13:CV13" si="92">$G13*AR13*IF($H13&gt;50,18,36)+$F13*AR13*IF($H13&gt;50,4,8)+$E13*AR13</f>
        <v>0</v>
      </c>
      <c r="CL13" s="143">
        <f t="shared" si="92"/>
        <v>0</v>
      </c>
      <c r="CM13" s="143">
        <f t="shared" si="92"/>
        <v>0</v>
      </c>
      <c r="CN13" s="143">
        <f t="shared" si="92"/>
        <v>0</v>
      </c>
      <c r="CO13" s="143">
        <f t="shared" si="92"/>
        <v>0</v>
      </c>
      <c r="CP13" s="143">
        <f t="shared" si="92"/>
        <v>0</v>
      </c>
      <c r="CQ13" s="143">
        <f t="shared" si="92"/>
        <v>0</v>
      </c>
      <c r="CR13" s="143">
        <f t="shared" si="92"/>
        <v>0</v>
      </c>
      <c r="CS13" s="143">
        <f t="shared" si="92"/>
        <v>0</v>
      </c>
      <c r="CT13" s="143">
        <f t="shared" si="92"/>
        <v>0</v>
      </c>
      <c r="CU13" s="143">
        <f t="shared" si="92"/>
        <v>0</v>
      </c>
      <c r="CV13" s="143">
        <f t="shared" si="92"/>
        <v>0</v>
      </c>
      <c r="CW13" s="143"/>
      <c r="CX13" s="143">
        <f t="shared" ref="CX13:DJ13" si="93">O13*BH$2/($H13/50)^2</f>
        <v>0</v>
      </c>
      <c r="CY13" s="143">
        <f t="shared" si="93"/>
        <v>0</v>
      </c>
      <c r="CZ13" s="143">
        <f t="shared" si="93"/>
        <v>0</v>
      </c>
      <c r="DA13" s="143">
        <f t="shared" si="93"/>
        <v>0</v>
      </c>
      <c r="DB13" s="143">
        <f t="shared" si="93"/>
        <v>0</v>
      </c>
      <c r="DC13" s="143">
        <f t="shared" si="93"/>
        <v>0</v>
      </c>
      <c r="DD13" s="143">
        <f t="shared" si="93"/>
        <v>0</v>
      </c>
      <c r="DE13" s="143">
        <f t="shared" si="93"/>
        <v>0</v>
      </c>
      <c r="DF13" s="143">
        <f t="shared" si="93"/>
        <v>0</v>
      </c>
      <c r="DG13" s="143">
        <f t="shared" si="93"/>
        <v>0.5</v>
      </c>
      <c r="DH13" s="143">
        <f t="shared" si="93"/>
        <v>0</v>
      </c>
      <c r="DI13" s="143">
        <f t="shared" si="93"/>
        <v>0</v>
      </c>
      <c r="DJ13" s="143">
        <f t="shared" si="93"/>
        <v>0</v>
      </c>
      <c r="DK13" s="143">
        <f t="shared" si="37"/>
        <v>0</v>
      </c>
      <c r="DL13" s="143">
        <f t="shared" si="38"/>
        <v>0</v>
      </c>
      <c r="DM13" s="143">
        <f t="shared" ref="DM13:DN13" si="94">AD13*BW$2/($H13/50)^2</f>
        <v>0</v>
      </c>
      <c r="DN13" s="143">
        <f t="shared" si="94"/>
        <v>0</v>
      </c>
      <c r="DO13" s="143">
        <f t="shared" si="40"/>
        <v>0</v>
      </c>
      <c r="DP13" s="143">
        <f t="shared" si="41"/>
        <v>0</v>
      </c>
      <c r="DQ13" s="143">
        <f t="shared" si="42"/>
        <v>0</v>
      </c>
      <c r="DR13" s="143">
        <f t="shared" si="43"/>
        <v>0</v>
      </c>
      <c r="DS13" s="143">
        <f t="shared" si="44"/>
        <v>0</v>
      </c>
      <c r="DT13" s="143">
        <f t="shared" si="45"/>
        <v>0</v>
      </c>
      <c r="DU13" s="143">
        <f t="shared" si="46"/>
        <v>0</v>
      </c>
      <c r="DV13" s="143">
        <f t="shared" si="47"/>
        <v>0</v>
      </c>
      <c r="DW13" s="143">
        <f t="shared" si="48"/>
        <v>0</v>
      </c>
      <c r="DX13" s="143">
        <f t="shared" si="49"/>
        <v>0</v>
      </c>
      <c r="DY13" s="143">
        <f t="shared" si="50"/>
        <v>0</v>
      </c>
      <c r="DZ13" s="143">
        <f t="shared" si="51"/>
        <v>0</v>
      </c>
      <c r="EA13" s="143">
        <f t="shared" ref="EA13:EL13" si="95">AR13*CK$2/($H13/50)^2</f>
        <v>0</v>
      </c>
      <c r="EB13" s="143">
        <f t="shared" si="95"/>
        <v>0</v>
      </c>
      <c r="EC13" s="143">
        <f t="shared" si="95"/>
        <v>0</v>
      </c>
      <c r="ED13" s="143">
        <f t="shared" si="95"/>
        <v>0</v>
      </c>
      <c r="EE13" s="143">
        <f t="shared" si="95"/>
        <v>0</v>
      </c>
      <c r="EF13" s="143">
        <f t="shared" si="95"/>
        <v>0</v>
      </c>
      <c r="EG13" s="143">
        <f t="shared" si="95"/>
        <v>0</v>
      </c>
      <c r="EH13" s="143">
        <f t="shared" si="95"/>
        <v>0</v>
      </c>
      <c r="EI13" s="143">
        <f t="shared" si="95"/>
        <v>0</v>
      </c>
      <c r="EJ13" s="143">
        <f t="shared" si="95"/>
        <v>0</v>
      </c>
      <c r="EK13" s="143">
        <f t="shared" si="95"/>
        <v>0</v>
      </c>
      <c r="EL13" s="143">
        <f t="shared" si="95"/>
        <v>0</v>
      </c>
    </row>
    <row r="14">
      <c r="A14" s="145" t="s">
        <v>70</v>
      </c>
      <c r="B14" s="132">
        <f t="shared" si="10"/>
        <v>0</v>
      </c>
      <c r="C14" s="148"/>
      <c r="D14" s="134">
        <f t="shared" si="11"/>
        <v>0</v>
      </c>
      <c r="E14" s="135">
        <f t="shared" si="12"/>
        <v>0</v>
      </c>
      <c r="F14" s="132">
        <f t="shared" si="13"/>
        <v>0</v>
      </c>
      <c r="G14" s="136">
        <f t="shared" si="14"/>
        <v>0</v>
      </c>
      <c r="H14" s="137">
        <v>100.0</v>
      </c>
      <c r="I14" s="138" t="str">
        <f t="shared" si="83"/>
        <v>Gum Base</v>
      </c>
      <c r="J14" s="139">
        <f t="shared" si="15"/>
        <v>0</v>
      </c>
      <c r="K14" s="140">
        <f t="shared" si="16"/>
        <v>13</v>
      </c>
      <c r="L14" s="139" t="s">
        <v>61</v>
      </c>
      <c r="M14" s="139" t="s">
        <v>61</v>
      </c>
      <c r="N14" s="139">
        <v>1.0</v>
      </c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39">
        <v>1.0</v>
      </c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2"/>
      <c r="BE14" s="143">
        <f t="shared" si="17"/>
        <v>0</v>
      </c>
      <c r="BF14" s="143">
        <f t="shared" si="18"/>
        <v>0</v>
      </c>
      <c r="BG14" s="143">
        <f t="shared" ref="BG14:BT14" si="96">$G14*N14*IF($H14&gt;50,18,36)+$F14*N14*IF($H14&gt;50,4,8)+$E14*N14</f>
        <v>0</v>
      </c>
      <c r="BH14" s="143">
        <f t="shared" si="96"/>
        <v>0</v>
      </c>
      <c r="BI14" s="143">
        <f t="shared" si="96"/>
        <v>0</v>
      </c>
      <c r="BJ14" s="143">
        <f t="shared" si="96"/>
        <v>0</v>
      </c>
      <c r="BK14" s="143">
        <f t="shared" si="96"/>
        <v>0</v>
      </c>
      <c r="BL14" s="143">
        <f t="shared" si="96"/>
        <v>0</v>
      </c>
      <c r="BM14" s="143">
        <f t="shared" si="96"/>
        <v>0</v>
      </c>
      <c r="BN14" s="143">
        <f t="shared" si="96"/>
        <v>0</v>
      </c>
      <c r="BO14" s="143">
        <f t="shared" si="96"/>
        <v>0</v>
      </c>
      <c r="BP14" s="143">
        <f t="shared" si="96"/>
        <v>0</v>
      </c>
      <c r="BQ14" s="143">
        <f t="shared" si="96"/>
        <v>0</v>
      </c>
      <c r="BR14" s="143">
        <f t="shared" si="96"/>
        <v>0</v>
      </c>
      <c r="BS14" s="143">
        <f t="shared" si="96"/>
        <v>0</v>
      </c>
      <c r="BT14" s="143">
        <f t="shared" si="96"/>
        <v>0</v>
      </c>
      <c r="BU14" s="143">
        <f t="shared" si="20"/>
        <v>0</v>
      </c>
      <c r="BV14" s="143">
        <f t="shared" si="21"/>
        <v>0</v>
      </c>
      <c r="BW14" s="143">
        <f t="shared" ref="BW14:BX14" si="97">$G14*AD14*IF($H14&gt;50,18,36)+$F14*AD14*IF($H14&gt;50,4,8)+$E14*AD14</f>
        <v>0</v>
      </c>
      <c r="BX14" s="143">
        <f t="shared" si="97"/>
        <v>0</v>
      </c>
      <c r="BY14" s="143">
        <f t="shared" si="23"/>
        <v>0</v>
      </c>
      <c r="BZ14" s="143">
        <f t="shared" si="24"/>
        <v>0</v>
      </c>
      <c r="CA14" s="143">
        <f t="shared" si="25"/>
        <v>0</v>
      </c>
      <c r="CB14" s="143">
        <f t="shared" si="26"/>
        <v>0</v>
      </c>
      <c r="CC14" s="143">
        <f t="shared" si="27"/>
        <v>0</v>
      </c>
      <c r="CD14" s="143">
        <f t="shared" si="28"/>
        <v>0</v>
      </c>
      <c r="CE14" s="143">
        <f t="shared" si="29"/>
        <v>0</v>
      </c>
      <c r="CF14" s="143">
        <f t="shared" si="30"/>
        <v>0</v>
      </c>
      <c r="CG14" s="143">
        <f t="shared" si="31"/>
        <v>0</v>
      </c>
      <c r="CH14" s="143">
        <f t="shared" si="32"/>
        <v>0</v>
      </c>
      <c r="CI14" s="143">
        <f t="shared" si="33"/>
        <v>0</v>
      </c>
      <c r="CJ14" s="143">
        <f t="shared" si="34"/>
        <v>0</v>
      </c>
      <c r="CK14" s="143">
        <f t="shared" ref="CK14:CV14" si="98">$G14*AR14*IF($H14&gt;50,18,36)+$F14*AR14*IF($H14&gt;50,4,8)+$E14*AR14</f>
        <v>0</v>
      </c>
      <c r="CL14" s="143">
        <f t="shared" si="98"/>
        <v>0</v>
      </c>
      <c r="CM14" s="143">
        <f t="shared" si="98"/>
        <v>0</v>
      </c>
      <c r="CN14" s="143">
        <f t="shared" si="98"/>
        <v>0</v>
      </c>
      <c r="CO14" s="143">
        <f t="shared" si="98"/>
        <v>0</v>
      </c>
      <c r="CP14" s="143">
        <f t="shared" si="98"/>
        <v>0</v>
      </c>
      <c r="CQ14" s="143">
        <f t="shared" si="98"/>
        <v>0</v>
      </c>
      <c r="CR14" s="143">
        <f t="shared" si="98"/>
        <v>0</v>
      </c>
      <c r="CS14" s="143">
        <f t="shared" si="98"/>
        <v>0</v>
      </c>
      <c r="CT14" s="143">
        <f t="shared" si="98"/>
        <v>0</v>
      </c>
      <c r="CU14" s="143">
        <f t="shared" si="98"/>
        <v>0</v>
      </c>
      <c r="CV14" s="143">
        <f t="shared" si="98"/>
        <v>0</v>
      </c>
      <c r="CW14" s="143"/>
      <c r="CX14" s="143">
        <f t="shared" ref="CX14:DJ14" si="99">O14*BH$2/($H14/50)^2</f>
        <v>0</v>
      </c>
      <c r="CY14" s="143">
        <f t="shared" si="99"/>
        <v>0</v>
      </c>
      <c r="CZ14" s="143">
        <f t="shared" si="99"/>
        <v>0</v>
      </c>
      <c r="DA14" s="143">
        <f t="shared" si="99"/>
        <v>0</v>
      </c>
      <c r="DB14" s="143">
        <f t="shared" si="99"/>
        <v>0</v>
      </c>
      <c r="DC14" s="143">
        <f t="shared" si="99"/>
        <v>0</v>
      </c>
      <c r="DD14" s="143">
        <f t="shared" si="99"/>
        <v>0</v>
      </c>
      <c r="DE14" s="143">
        <f t="shared" si="99"/>
        <v>0</v>
      </c>
      <c r="DF14" s="143">
        <f t="shared" si="99"/>
        <v>0</v>
      </c>
      <c r="DG14" s="143">
        <f t="shared" si="99"/>
        <v>0</v>
      </c>
      <c r="DH14" s="143">
        <f t="shared" si="99"/>
        <v>0.75</v>
      </c>
      <c r="DI14" s="143">
        <f t="shared" si="99"/>
        <v>0</v>
      </c>
      <c r="DJ14" s="143">
        <f t="shared" si="99"/>
        <v>0</v>
      </c>
      <c r="DK14" s="143">
        <f t="shared" si="37"/>
        <v>0</v>
      </c>
      <c r="DL14" s="143">
        <f t="shared" si="38"/>
        <v>0</v>
      </c>
      <c r="DM14" s="143">
        <f t="shared" ref="DM14:DN14" si="100">AD14*BW$2/($H14/50)^2</f>
        <v>0</v>
      </c>
      <c r="DN14" s="143">
        <f t="shared" si="100"/>
        <v>0</v>
      </c>
      <c r="DO14" s="143">
        <f t="shared" si="40"/>
        <v>0</v>
      </c>
      <c r="DP14" s="143">
        <f t="shared" si="41"/>
        <v>0</v>
      </c>
      <c r="DQ14" s="143">
        <f t="shared" si="42"/>
        <v>0</v>
      </c>
      <c r="DR14" s="143">
        <f t="shared" si="43"/>
        <v>0</v>
      </c>
      <c r="DS14" s="143">
        <f t="shared" si="44"/>
        <v>0</v>
      </c>
      <c r="DT14" s="143">
        <f t="shared" si="45"/>
        <v>0</v>
      </c>
      <c r="DU14" s="143">
        <f t="shared" si="46"/>
        <v>0</v>
      </c>
      <c r="DV14" s="143">
        <f t="shared" si="47"/>
        <v>0</v>
      </c>
      <c r="DW14" s="143">
        <f t="shared" si="48"/>
        <v>0</v>
      </c>
      <c r="DX14" s="143">
        <f t="shared" si="49"/>
        <v>0</v>
      </c>
      <c r="DY14" s="143">
        <f t="shared" si="50"/>
        <v>0</v>
      </c>
      <c r="DZ14" s="143">
        <f t="shared" si="51"/>
        <v>0</v>
      </c>
      <c r="EA14" s="143">
        <f t="shared" ref="EA14:EL14" si="101">AR14*CK$2/($H14/50)^2</f>
        <v>0</v>
      </c>
      <c r="EB14" s="143">
        <f t="shared" si="101"/>
        <v>0</v>
      </c>
      <c r="EC14" s="143">
        <f t="shared" si="101"/>
        <v>0</v>
      </c>
      <c r="ED14" s="143">
        <f t="shared" si="101"/>
        <v>0</v>
      </c>
      <c r="EE14" s="143">
        <f t="shared" si="101"/>
        <v>0</v>
      </c>
      <c r="EF14" s="143">
        <f t="shared" si="101"/>
        <v>0</v>
      </c>
      <c r="EG14" s="143">
        <f t="shared" si="101"/>
        <v>0</v>
      </c>
      <c r="EH14" s="143">
        <f t="shared" si="101"/>
        <v>0</v>
      </c>
      <c r="EI14" s="143">
        <f t="shared" si="101"/>
        <v>0</v>
      </c>
      <c r="EJ14" s="143">
        <f t="shared" si="101"/>
        <v>0</v>
      </c>
      <c r="EK14" s="143">
        <f t="shared" si="101"/>
        <v>0</v>
      </c>
      <c r="EL14" s="143">
        <f t="shared" si="101"/>
        <v>0</v>
      </c>
    </row>
    <row r="15">
      <c r="A15" s="145" t="s">
        <v>71</v>
      </c>
      <c r="B15" s="132">
        <f t="shared" si="10"/>
        <v>0</v>
      </c>
      <c r="C15" s="146">
        <v>3.0</v>
      </c>
      <c r="D15" s="134">
        <f t="shared" si="11"/>
        <v>3</v>
      </c>
      <c r="E15" s="135">
        <f t="shared" si="12"/>
        <v>3</v>
      </c>
      <c r="F15" s="132">
        <f t="shared" si="13"/>
        <v>0</v>
      </c>
      <c r="G15" s="136">
        <f t="shared" si="14"/>
        <v>0</v>
      </c>
      <c r="H15" s="137">
        <v>100.0</v>
      </c>
      <c r="I15" s="138" t="str">
        <f t="shared" si="83"/>
        <v>Gum Base</v>
      </c>
      <c r="J15" s="139">
        <f t="shared" si="15"/>
        <v>63</v>
      </c>
      <c r="K15" s="140">
        <f t="shared" si="16"/>
        <v>21</v>
      </c>
      <c r="L15" s="139" t="s">
        <v>61</v>
      </c>
      <c r="M15" s="139" t="s">
        <v>61</v>
      </c>
      <c r="N15" s="139">
        <v>1.0</v>
      </c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39">
        <v>1.0</v>
      </c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2"/>
      <c r="BE15" s="143">
        <f t="shared" si="17"/>
        <v>0</v>
      </c>
      <c r="BF15" s="143" t="str">
        <f t="shared" si="18"/>
        <v>-</v>
      </c>
      <c r="BG15" s="143">
        <f t="shared" ref="BG15:BT15" si="102">$G15*N15*IF($H15&gt;50,18,36)+$F15*N15*IF($H15&gt;50,4,8)+$E15*N15</f>
        <v>3</v>
      </c>
      <c r="BH15" s="143">
        <f t="shared" si="102"/>
        <v>0</v>
      </c>
      <c r="BI15" s="143">
        <f t="shared" si="102"/>
        <v>0</v>
      </c>
      <c r="BJ15" s="143">
        <f t="shared" si="102"/>
        <v>0</v>
      </c>
      <c r="BK15" s="143">
        <f t="shared" si="102"/>
        <v>0</v>
      </c>
      <c r="BL15" s="143">
        <f t="shared" si="102"/>
        <v>0</v>
      </c>
      <c r="BM15" s="143">
        <f t="shared" si="102"/>
        <v>0</v>
      </c>
      <c r="BN15" s="143">
        <f t="shared" si="102"/>
        <v>0</v>
      </c>
      <c r="BO15" s="143">
        <f t="shared" si="102"/>
        <v>0</v>
      </c>
      <c r="BP15" s="143">
        <f t="shared" si="102"/>
        <v>0</v>
      </c>
      <c r="BQ15" s="143">
        <f t="shared" si="102"/>
        <v>0</v>
      </c>
      <c r="BR15" s="143">
        <f t="shared" si="102"/>
        <v>0</v>
      </c>
      <c r="BS15" s="143">
        <f t="shared" si="102"/>
        <v>0</v>
      </c>
      <c r="BT15" s="143">
        <f t="shared" si="102"/>
        <v>0</v>
      </c>
      <c r="BU15" s="143">
        <f t="shared" si="20"/>
        <v>0</v>
      </c>
      <c r="BV15" s="143">
        <f t="shared" si="21"/>
        <v>0</v>
      </c>
      <c r="BW15" s="143">
        <f t="shared" ref="BW15:BX15" si="103">$G15*AD15*IF($H15&gt;50,18,36)+$F15*AD15*IF($H15&gt;50,4,8)+$E15*AD15</f>
        <v>0</v>
      </c>
      <c r="BX15" s="143">
        <f t="shared" si="103"/>
        <v>0</v>
      </c>
      <c r="BY15" s="143">
        <f t="shared" si="23"/>
        <v>0</v>
      </c>
      <c r="BZ15" s="143">
        <f t="shared" si="24"/>
        <v>0</v>
      </c>
      <c r="CA15" s="143">
        <f t="shared" si="25"/>
        <v>3</v>
      </c>
      <c r="CB15" s="143">
        <f t="shared" si="26"/>
        <v>0</v>
      </c>
      <c r="CC15" s="143">
        <f t="shared" si="27"/>
        <v>0</v>
      </c>
      <c r="CD15" s="143">
        <f t="shared" si="28"/>
        <v>0</v>
      </c>
      <c r="CE15" s="143">
        <f t="shared" si="29"/>
        <v>0</v>
      </c>
      <c r="CF15" s="143">
        <f t="shared" si="30"/>
        <v>0</v>
      </c>
      <c r="CG15" s="143">
        <f t="shared" si="31"/>
        <v>0</v>
      </c>
      <c r="CH15" s="143">
        <f t="shared" si="32"/>
        <v>0</v>
      </c>
      <c r="CI15" s="143">
        <f t="shared" si="33"/>
        <v>0</v>
      </c>
      <c r="CJ15" s="143">
        <f t="shared" si="34"/>
        <v>0</v>
      </c>
      <c r="CK15" s="143">
        <f t="shared" ref="CK15:CV15" si="104">$G15*AR15*IF($H15&gt;50,18,36)+$F15*AR15*IF($H15&gt;50,4,8)+$E15*AR15</f>
        <v>0</v>
      </c>
      <c r="CL15" s="143">
        <f t="shared" si="104"/>
        <v>0</v>
      </c>
      <c r="CM15" s="143">
        <f t="shared" si="104"/>
        <v>0</v>
      </c>
      <c r="CN15" s="143">
        <f t="shared" si="104"/>
        <v>0</v>
      </c>
      <c r="CO15" s="143">
        <f t="shared" si="104"/>
        <v>0</v>
      </c>
      <c r="CP15" s="143">
        <f t="shared" si="104"/>
        <v>0</v>
      </c>
      <c r="CQ15" s="143">
        <f t="shared" si="104"/>
        <v>0</v>
      </c>
      <c r="CR15" s="143">
        <f t="shared" si="104"/>
        <v>0</v>
      </c>
      <c r="CS15" s="143">
        <f t="shared" si="104"/>
        <v>0</v>
      </c>
      <c r="CT15" s="143">
        <f t="shared" si="104"/>
        <v>0</v>
      </c>
      <c r="CU15" s="143">
        <f t="shared" si="104"/>
        <v>0</v>
      </c>
      <c r="CV15" s="143">
        <f t="shared" si="104"/>
        <v>0</v>
      </c>
      <c r="CW15" s="143"/>
      <c r="CX15" s="143">
        <f t="shared" ref="CX15:DJ15" si="105">O15*BH$2/($H15/50)^2</f>
        <v>0</v>
      </c>
      <c r="CY15" s="143">
        <f t="shared" si="105"/>
        <v>0</v>
      </c>
      <c r="CZ15" s="143">
        <f t="shared" si="105"/>
        <v>0</v>
      </c>
      <c r="DA15" s="143">
        <f t="shared" si="105"/>
        <v>0</v>
      </c>
      <c r="DB15" s="143">
        <f t="shared" si="105"/>
        <v>0</v>
      </c>
      <c r="DC15" s="143">
        <f t="shared" si="105"/>
        <v>0</v>
      </c>
      <c r="DD15" s="143">
        <f t="shared" si="105"/>
        <v>0</v>
      </c>
      <c r="DE15" s="143">
        <f t="shared" si="105"/>
        <v>0</v>
      </c>
      <c r="DF15" s="143">
        <f t="shared" si="105"/>
        <v>0</v>
      </c>
      <c r="DG15" s="143">
        <f t="shared" si="105"/>
        <v>0</v>
      </c>
      <c r="DH15" s="143">
        <f t="shared" si="105"/>
        <v>0</v>
      </c>
      <c r="DI15" s="143">
        <f t="shared" si="105"/>
        <v>0</v>
      </c>
      <c r="DJ15" s="143">
        <f t="shared" si="105"/>
        <v>0</v>
      </c>
      <c r="DK15" s="143">
        <f t="shared" si="37"/>
        <v>0</v>
      </c>
      <c r="DL15" s="143">
        <f t="shared" si="38"/>
        <v>0</v>
      </c>
      <c r="DM15" s="143">
        <f t="shared" ref="DM15:DN15" si="106">AD15*BW$2/($H15/50)^2</f>
        <v>0</v>
      </c>
      <c r="DN15" s="143">
        <f t="shared" si="106"/>
        <v>0</v>
      </c>
      <c r="DO15" s="143">
        <f t="shared" si="40"/>
        <v>0</v>
      </c>
      <c r="DP15" s="143">
        <f t="shared" si="41"/>
        <v>0</v>
      </c>
      <c r="DQ15" s="143">
        <f t="shared" si="42"/>
        <v>8.75</v>
      </c>
      <c r="DR15" s="143">
        <f t="shared" si="43"/>
        <v>0</v>
      </c>
      <c r="DS15" s="143">
        <f t="shared" si="44"/>
        <v>0</v>
      </c>
      <c r="DT15" s="143">
        <f t="shared" si="45"/>
        <v>0</v>
      </c>
      <c r="DU15" s="143">
        <f t="shared" si="46"/>
        <v>0</v>
      </c>
      <c r="DV15" s="143">
        <f t="shared" si="47"/>
        <v>0</v>
      </c>
      <c r="DW15" s="143">
        <f t="shared" si="48"/>
        <v>0</v>
      </c>
      <c r="DX15" s="143">
        <f t="shared" si="49"/>
        <v>0</v>
      </c>
      <c r="DY15" s="143">
        <f t="shared" si="50"/>
        <v>0</v>
      </c>
      <c r="DZ15" s="143">
        <f t="shared" si="51"/>
        <v>0</v>
      </c>
      <c r="EA15" s="143">
        <f t="shared" ref="EA15:EL15" si="107">AR15*CK$2/($H15/50)^2</f>
        <v>0</v>
      </c>
      <c r="EB15" s="143">
        <f t="shared" si="107"/>
        <v>0</v>
      </c>
      <c r="EC15" s="143">
        <f t="shared" si="107"/>
        <v>0</v>
      </c>
      <c r="ED15" s="143">
        <f t="shared" si="107"/>
        <v>0</v>
      </c>
      <c r="EE15" s="143">
        <f t="shared" si="107"/>
        <v>0</v>
      </c>
      <c r="EF15" s="143">
        <f t="shared" si="107"/>
        <v>0</v>
      </c>
      <c r="EG15" s="143">
        <f t="shared" si="107"/>
        <v>0</v>
      </c>
      <c r="EH15" s="143">
        <f t="shared" si="107"/>
        <v>0</v>
      </c>
      <c r="EI15" s="143">
        <f t="shared" si="107"/>
        <v>0</v>
      </c>
      <c r="EJ15" s="143">
        <f t="shared" si="107"/>
        <v>0</v>
      </c>
      <c r="EK15" s="143">
        <f t="shared" si="107"/>
        <v>0</v>
      </c>
      <c r="EL15" s="143">
        <f t="shared" si="107"/>
        <v>0</v>
      </c>
    </row>
    <row r="16">
      <c r="A16" s="145" t="s">
        <v>72</v>
      </c>
      <c r="B16" s="132">
        <f t="shared" si="10"/>
        <v>0</v>
      </c>
      <c r="C16" s="148"/>
      <c r="D16" s="134">
        <f t="shared" si="11"/>
        <v>0</v>
      </c>
      <c r="E16" s="135">
        <f t="shared" si="12"/>
        <v>0</v>
      </c>
      <c r="F16" s="132">
        <f t="shared" si="13"/>
        <v>0</v>
      </c>
      <c r="G16" s="136">
        <f t="shared" si="14"/>
        <v>0</v>
      </c>
      <c r="H16" s="137">
        <v>100.0</v>
      </c>
      <c r="I16" s="138" t="str">
        <f t="shared" si="83"/>
        <v>Gum Base</v>
      </c>
      <c r="J16" s="139">
        <f t="shared" si="15"/>
        <v>0</v>
      </c>
      <c r="K16" s="140">
        <f t="shared" si="16"/>
        <v>30</v>
      </c>
      <c r="L16" s="139" t="s">
        <v>61</v>
      </c>
      <c r="M16" s="139" t="s">
        <v>61</v>
      </c>
      <c r="N16" s="139">
        <v>1.0</v>
      </c>
      <c r="O16" s="141"/>
      <c r="P16" s="141"/>
      <c r="Q16" s="141"/>
      <c r="R16" s="141"/>
      <c r="S16" s="141"/>
      <c r="T16" s="141"/>
      <c r="U16" s="141"/>
      <c r="V16" s="139">
        <v>1.0</v>
      </c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2"/>
      <c r="BE16" s="143">
        <f t="shared" si="17"/>
        <v>0</v>
      </c>
      <c r="BF16" s="143">
        <f t="shared" si="18"/>
        <v>0</v>
      </c>
      <c r="BG16" s="143">
        <f t="shared" ref="BG16:BT16" si="108">$G16*N16*IF($H16&gt;50,18,36)+$F16*N16*IF($H16&gt;50,4,8)+$E16*N16</f>
        <v>0</v>
      </c>
      <c r="BH16" s="143">
        <f t="shared" si="108"/>
        <v>0</v>
      </c>
      <c r="BI16" s="143">
        <f t="shared" si="108"/>
        <v>0</v>
      </c>
      <c r="BJ16" s="143">
        <f t="shared" si="108"/>
        <v>0</v>
      </c>
      <c r="BK16" s="143">
        <f t="shared" si="108"/>
        <v>0</v>
      </c>
      <c r="BL16" s="143">
        <f t="shared" si="108"/>
        <v>0</v>
      </c>
      <c r="BM16" s="143">
        <f t="shared" si="108"/>
        <v>0</v>
      </c>
      <c r="BN16" s="143">
        <f t="shared" si="108"/>
        <v>0</v>
      </c>
      <c r="BO16" s="143">
        <f t="shared" si="108"/>
        <v>0</v>
      </c>
      <c r="BP16" s="143">
        <f t="shared" si="108"/>
        <v>0</v>
      </c>
      <c r="BQ16" s="143">
        <f t="shared" si="108"/>
        <v>0</v>
      </c>
      <c r="BR16" s="143">
        <f t="shared" si="108"/>
        <v>0</v>
      </c>
      <c r="BS16" s="143">
        <f t="shared" si="108"/>
        <v>0</v>
      </c>
      <c r="BT16" s="143">
        <f t="shared" si="108"/>
        <v>0</v>
      </c>
      <c r="BU16" s="143">
        <f t="shared" si="20"/>
        <v>0</v>
      </c>
      <c r="BV16" s="143">
        <f t="shared" si="21"/>
        <v>0</v>
      </c>
      <c r="BW16" s="143">
        <f t="shared" ref="BW16:BX16" si="109">$G16*AD16*IF($H16&gt;50,18,36)+$F16*AD16*IF($H16&gt;50,4,8)+$E16*AD16</f>
        <v>0</v>
      </c>
      <c r="BX16" s="143">
        <f t="shared" si="109"/>
        <v>0</v>
      </c>
      <c r="BY16" s="143">
        <f t="shared" si="23"/>
        <v>0</v>
      </c>
      <c r="BZ16" s="143">
        <f t="shared" si="24"/>
        <v>0</v>
      </c>
      <c r="CA16" s="143">
        <f t="shared" si="25"/>
        <v>0</v>
      </c>
      <c r="CB16" s="143">
        <f t="shared" si="26"/>
        <v>0</v>
      </c>
      <c r="CC16" s="143">
        <f t="shared" si="27"/>
        <v>0</v>
      </c>
      <c r="CD16" s="143">
        <f t="shared" si="28"/>
        <v>0</v>
      </c>
      <c r="CE16" s="143">
        <f t="shared" si="29"/>
        <v>0</v>
      </c>
      <c r="CF16" s="143">
        <f t="shared" si="30"/>
        <v>0</v>
      </c>
      <c r="CG16" s="143">
        <f t="shared" si="31"/>
        <v>0</v>
      </c>
      <c r="CH16" s="143">
        <f t="shared" si="32"/>
        <v>0</v>
      </c>
      <c r="CI16" s="143">
        <f t="shared" si="33"/>
        <v>0</v>
      </c>
      <c r="CJ16" s="143">
        <f t="shared" si="34"/>
        <v>0</v>
      </c>
      <c r="CK16" s="143">
        <f t="shared" ref="CK16:CV16" si="110">$G16*AR16*IF($H16&gt;50,18,36)+$F16*AR16*IF($H16&gt;50,4,8)+$E16*AR16</f>
        <v>0</v>
      </c>
      <c r="CL16" s="143">
        <f t="shared" si="110"/>
        <v>0</v>
      </c>
      <c r="CM16" s="143">
        <f t="shared" si="110"/>
        <v>0</v>
      </c>
      <c r="CN16" s="143">
        <f t="shared" si="110"/>
        <v>0</v>
      </c>
      <c r="CO16" s="143">
        <f t="shared" si="110"/>
        <v>0</v>
      </c>
      <c r="CP16" s="143">
        <f t="shared" si="110"/>
        <v>0</v>
      </c>
      <c r="CQ16" s="143">
        <f t="shared" si="110"/>
        <v>0</v>
      </c>
      <c r="CR16" s="143">
        <f t="shared" si="110"/>
        <v>0</v>
      </c>
      <c r="CS16" s="143">
        <f t="shared" si="110"/>
        <v>0</v>
      </c>
      <c r="CT16" s="143">
        <f t="shared" si="110"/>
        <v>0</v>
      </c>
      <c r="CU16" s="143">
        <f t="shared" si="110"/>
        <v>0</v>
      </c>
      <c r="CV16" s="143">
        <f t="shared" si="110"/>
        <v>0</v>
      </c>
      <c r="CW16" s="143"/>
      <c r="CX16" s="143">
        <f t="shared" ref="CX16:DJ16" si="111">O16*BH$2/($H16/50)^2</f>
        <v>0</v>
      </c>
      <c r="CY16" s="143">
        <f t="shared" si="111"/>
        <v>0</v>
      </c>
      <c r="CZ16" s="143">
        <f t="shared" si="111"/>
        <v>0</v>
      </c>
      <c r="DA16" s="143">
        <f t="shared" si="111"/>
        <v>0</v>
      </c>
      <c r="DB16" s="143">
        <f t="shared" si="111"/>
        <v>0</v>
      </c>
      <c r="DC16" s="143">
        <f t="shared" si="111"/>
        <v>0</v>
      </c>
      <c r="DD16" s="143">
        <f t="shared" si="111"/>
        <v>0</v>
      </c>
      <c r="DE16" s="143">
        <f t="shared" si="111"/>
        <v>17.5</v>
      </c>
      <c r="DF16" s="143">
        <f t="shared" si="111"/>
        <v>0</v>
      </c>
      <c r="DG16" s="143">
        <f t="shared" si="111"/>
        <v>0</v>
      </c>
      <c r="DH16" s="143">
        <f t="shared" si="111"/>
        <v>0</v>
      </c>
      <c r="DI16" s="143">
        <f t="shared" si="111"/>
        <v>0</v>
      </c>
      <c r="DJ16" s="143">
        <f t="shared" si="111"/>
        <v>0</v>
      </c>
      <c r="DK16" s="143">
        <f t="shared" si="37"/>
        <v>0</v>
      </c>
      <c r="DL16" s="143">
        <f t="shared" si="38"/>
        <v>0</v>
      </c>
      <c r="DM16" s="143">
        <f t="shared" ref="DM16:DN16" si="112">AD16*BW$2/($H16/50)^2</f>
        <v>0</v>
      </c>
      <c r="DN16" s="143">
        <f t="shared" si="112"/>
        <v>0</v>
      </c>
      <c r="DO16" s="143">
        <f t="shared" si="40"/>
        <v>0</v>
      </c>
      <c r="DP16" s="143">
        <f t="shared" si="41"/>
        <v>0</v>
      </c>
      <c r="DQ16" s="143">
        <f t="shared" si="42"/>
        <v>0</v>
      </c>
      <c r="DR16" s="143">
        <f t="shared" si="43"/>
        <v>0</v>
      </c>
      <c r="DS16" s="143">
        <f t="shared" si="44"/>
        <v>0</v>
      </c>
      <c r="DT16" s="143">
        <f t="shared" si="45"/>
        <v>0</v>
      </c>
      <c r="DU16" s="143">
        <f t="shared" si="46"/>
        <v>0</v>
      </c>
      <c r="DV16" s="143">
        <f t="shared" si="47"/>
        <v>0</v>
      </c>
      <c r="DW16" s="143">
        <f t="shared" si="48"/>
        <v>0</v>
      </c>
      <c r="DX16" s="143">
        <f t="shared" si="49"/>
        <v>0</v>
      </c>
      <c r="DY16" s="143">
        <f t="shared" si="50"/>
        <v>0</v>
      </c>
      <c r="DZ16" s="143">
        <f t="shared" si="51"/>
        <v>0</v>
      </c>
      <c r="EA16" s="143">
        <f t="shared" ref="EA16:EL16" si="113">AR16*CK$2/($H16/50)^2</f>
        <v>0</v>
      </c>
      <c r="EB16" s="143">
        <f t="shared" si="113"/>
        <v>0</v>
      </c>
      <c r="EC16" s="143">
        <f t="shared" si="113"/>
        <v>0</v>
      </c>
      <c r="ED16" s="143">
        <f t="shared" si="113"/>
        <v>0</v>
      </c>
      <c r="EE16" s="143">
        <f t="shared" si="113"/>
        <v>0</v>
      </c>
      <c r="EF16" s="143">
        <f t="shared" si="113"/>
        <v>0</v>
      </c>
      <c r="EG16" s="143">
        <f t="shared" si="113"/>
        <v>0</v>
      </c>
      <c r="EH16" s="143">
        <f t="shared" si="113"/>
        <v>0</v>
      </c>
      <c r="EI16" s="143">
        <f t="shared" si="113"/>
        <v>0</v>
      </c>
      <c r="EJ16" s="143">
        <f t="shared" si="113"/>
        <v>0</v>
      </c>
      <c r="EK16" s="143">
        <f t="shared" si="113"/>
        <v>0</v>
      </c>
      <c r="EL16" s="143">
        <f t="shared" si="113"/>
        <v>0</v>
      </c>
    </row>
    <row r="17">
      <c r="A17" s="145" t="s">
        <v>73</v>
      </c>
      <c r="B17" s="132">
        <f t="shared" si="10"/>
        <v>0</v>
      </c>
      <c r="C17" s="144"/>
      <c r="D17" s="134">
        <f t="shared" si="11"/>
        <v>0</v>
      </c>
      <c r="E17" s="135">
        <f t="shared" si="12"/>
        <v>0</v>
      </c>
      <c r="F17" s="132">
        <f t="shared" si="13"/>
        <v>0</v>
      </c>
      <c r="G17" s="136">
        <f t="shared" si="14"/>
        <v>0</v>
      </c>
      <c r="H17" s="137">
        <v>100.0</v>
      </c>
      <c r="I17" s="138" t="str">
        <f t="shared" si="83"/>
        <v>Gum Base</v>
      </c>
      <c r="J17" s="139">
        <f t="shared" si="15"/>
        <v>0</v>
      </c>
      <c r="K17" s="140">
        <f t="shared" si="16"/>
        <v>20</v>
      </c>
      <c r="L17" s="139" t="s">
        <v>61</v>
      </c>
      <c r="M17" s="139" t="s">
        <v>61</v>
      </c>
      <c r="N17" s="139">
        <v>2.0</v>
      </c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39"/>
      <c r="AP17" s="141"/>
      <c r="AQ17" s="139">
        <v>1.0</v>
      </c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2"/>
      <c r="BE17" s="143">
        <f t="shared" si="17"/>
        <v>0</v>
      </c>
      <c r="BF17" s="143">
        <f t="shared" si="18"/>
        <v>0</v>
      </c>
      <c r="BG17" s="143">
        <f t="shared" ref="BG17:BT17" si="114">$G17*N17*IF($H17&gt;50,18,36)+$F17*N17*IF($H17&gt;50,4,8)+$E17*N17</f>
        <v>0</v>
      </c>
      <c r="BH17" s="143">
        <f t="shared" si="114"/>
        <v>0</v>
      </c>
      <c r="BI17" s="143">
        <f t="shared" si="114"/>
        <v>0</v>
      </c>
      <c r="BJ17" s="143">
        <f t="shared" si="114"/>
        <v>0</v>
      </c>
      <c r="BK17" s="143">
        <f t="shared" si="114"/>
        <v>0</v>
      </c>
      <c r="BL17" s="143">
        <f t="shared" si="114"/>
        <v>0</v>
      </c>
      <c r="BM17" s="143">
        <f t="shared" si="114"/>
        <v>0</v>
      </c>
      <c r="BN17" s="143">
        <f t="shared" si="114"/>
        <v>0</v>
      </c>
      <c r="BO17" s="143">
        <f t="shared" si="114"/>
        <v>0</v>
      </c>
      <c r="BP17" s="143">
        <f t="shared" si="114"/>
        <v>0</v>
      </c>
      <c r="BQ17" s="143">
        <f t="shared" si="114"/>
        <v>0</v>
      </c>
      <c r="BR17" s="143">
        <f t="shared" si="114"/>
        <v>0</v>
      </c>
      <c r="BS17" s="143">
        <f t="shared" si="114"/>
        <v>0</v>
      </c>
      <c r="BT17" s="143">
        <f t="shared" si="114"/>
        <v>0</v>
      </c>
      <c r="BU17" s="143">
        <f t="shared" si="20"/>
        <v>0</v>
      </c>
      <c r="BV17" s="143">
        <f t="shared" si="21"/>
        <v>0</v>
      </c>
      <c r="BW17" s="143">
        <f t="shared" ref="BW17:BX17" si="115">$G17*AD17*IF($H17&gt;50,18,36)+$F17*AD17*IF($H17&gt;50,4,8)+$E17*AD17</f>
        <v>0</v>
      </c>
      <c r="BX17" s="143">
        <f t="shared" si="115"/>
        <v>0</v>
      </c>
      <c r="BY17" s="143">
        <f t="shared" si="23"/>
        <v>0</v>
      </c>
      <c r="BZ17" s="143">
        <f t="shared" si="24"/>
        <v>0</v>
      </c>
      <c r="CA17" s="143">
        <f t="shared" si="25"/>
        <v>0</v>
      </c>
      <c r="CB17" s="143">
        <f t="shared" si="26"/>
        <v>0</v>
      </c>
      <c r="CC17" s="143">
        <f t="shared" si="27"/>
        <v>0</v>
      </c>
      <c r="CD17" s="143">
        <f t="shared" si="28"/>
        <v>0</v>
      </c>
      <c r="CE17" s="143">
        <f t="shared" si="29"/>
        <v>0</v>
      </c>
      <c r="CF17" s="143">
        <f t="shared" si="30"/>
        <v>0</v>
      </c>
      <c r="CG17" s="143">
        <f t="shared" si="31"/>
        <v>0</v>
      </c>
      <c r="CH17" s="143">
        <f t="shared" si="32"/>
        <v>0</v>
      </c>
      <c r="CI17" s="143">
        <f t="shared" si="33"/>
        <v>0</v>
      </c>
      <c r="CJ17" s="143">
        <f t="shared" si="34"/>
        <v>0</v>
      </c>
      <c r="CK17" s="143">
        <f t="shared" ref="CK17:CV17" si="116">$G17*AR17*IF($H17&gt;50,18,36)+$F17*AR17*IF($H17&gt;50,4,8)+$E17*AR17</f>
        <v>0</v>
      </c>
      <c r="CL17" s="143">
        <f t="shared" si="116"/>
        <v>0</v>
      </c>
      <c r="CM17" s="143">
        <f t="shared" si="116"/>
        <v>0</v>
      </c>
      <c r="CN17" s="143">
        <f t="shared" si="116"/>
        <v>0</v>
      </c>
      <c r="CO17" s="143">
        <f t="shared" si="116"/>
        <v>0</v>
      </c>
      <c r="CP17" s="143">
        <f t="shared" si="116"/>
        <v>0</v>
      </c>
      <c r="CQ17" s="143">
        <f t="shared" si="116"/>
        <v>0</v>
      </c>
      <c r="CR17" s="143">
        <f t="shared" si="116"/>
        <v>0</v>
      </c>
      <c r="CS17" s="143">
        <f t="shared" si="116"/>
        <v>0</v>
      </c>
      <c r="CT17" s="143">
        <f t="shared" si="116"/>
        <v>0</v>
      </c>
      <c r="CU17" s="143">
        <f t="shared" si="116"/>
        <v>0</v>
      </c>
      <c r="CV17" s="143">
        <f t="shared" si="116"/>
        <v>0</v>
      </c>
      <c r="CW17" s="143"/>
      <c r="CX17" s="143">
        <f t="shared" ref="CX17:DJ17" si="117">O17*BH$2/($H17/50)^2</f>
        <v>0</v>
      </c>
      <c r="CY17" s="143">
        <f t="shared" si="117"/>
        <v>0</v>
      </c>
      <c r="CZ17" s="143">
        <f t="shared" si="117"/>
        <v>0</v>
      </c>
      <c r="DA17" s="143">
        <f t="shared" si="117"/>
        <v>0</v>
      </c>
      <c r="DB17" s="143">
        <f t="shared" si="117"/>
        <v>0</v>
      </c>
      <c r="DC17" s="143">
        <f t="shared" si="117"/>
        <v>0</v>
      </c>
      <c r="DD17" s="143">
        <f t="shared" si="117"/>
        <v>0</v>
      </c>
      <c r="DE17" s="143">
        <f t="shared" si="117"/>
        <v>0</v>
      </c>
      <c r="DF17" s="143">
        <f t="shared" si="117"/>
        <v>0</v>
      </c>
      <c r="DG17" s="143">
        <f t="shared" si="117"/>
        <v>0</v>
      </c>
      <c r="DH17" s="143">
        <f t="shared" si="117"/>
        <v>0</v>
      </c>
      <c r="DI17" s="143">
        <f t="shared" si="117"/>
        <v>0</v>
      </c>
      <c r="DJ17" s="143">
        <f t="shared" si="117"/>
        <v>0</v>
      </c>
      <c r="DK17" s="143">
        <f t="shared" si="37"/>
        <v>0</v>
      </c>
      <c r="DL17" s="143">
        <f t="shared" si="38"/>
        <v>0</v>
      </c>
      <c r="DM17" s="143">
        <f t="shared" ref="DM17:DN17" si="118">AD17*BW$2/($H17/50)^2</f>
        <v>0</v>
      </c>
      <c r="DN17" s="143">
        <f t="shared" si="118"/>
        <v>0</v>
      </c>
      <c r="DO17" s="143">
        <f t="shared" si="40"/>
        <v>0</v>
      </c>
      <c r="DP17" s="143">
        <f t="shared" si="41"/>
        <v>0</v>
      </c>
      <c r="DQ17" s="143">
        <f t="shared" si="42"/>
        <v>0</v>
      </c>
      <c r="DR17" s="143">
        <f t="shared" si="43"/>
        <v>0</v>
      </c>
      <c r="DS17" s="143">
        <f t="shared" si="44"/>
        <v>0</v>
      </c>
      <c r="DT17" s="143">
        <f t="shared" si="45"/>
        <v>0</v>
      </c>
      <c r="DU17" s="143">
        <f t="shared" si="46"/>
        <v>0</v>
      </c>
      <c r="DV17" s="143">
        <f t="shared" si="47"/>
        <v>0</v>
      </c>
      <c r="DW17" s="143">
        <f t="shared" si="48"/>
        <v>0</v>
      </c>
      <c r="DX17" s="143">
        <f t="shared" si="49"/>
        <v>7.5</v>
      </c>
      <c r="DY17" s="143">
        <f t="shared" si="50"/>
        <v>0</v>
      </c>
      <c r="DZ17" s="143">
        <f t="shared" si="51"/>
        <v>0</v>
      </c>
      <c r="EA17" s="143">
        <f t="shared" ref="EA17:EL17" si="119">AR17*CK$2/($H17/50)^2</f>
        <v>0</v>
      </c>
      <c r="EB17" s="143">
        <f t="shared" si="119"/>
        <v>0</v>
      </c>
      <c r="EC17" s="143">
        <f t="shared" si="119"/>
        <v>0</v>
      </c>
      <c r="ED17" s="143">
        <f t="shared" si="119"/>
        <v>0</v>
      </c>
      <c r="EE17" s="143">
        <f t="shared" si="119"/>
        <v>0</v>
      </c>
      <c r="EF17" s="143">
        <f t="shared" si="119"/>
        <v>0</v>
      </c>
      <c r="EG17" s="143">
        <f t="shared" si="119"/>
        <v>0</v>
      </c>
      <c r="EH17" s="143">
        <f t="shared" si="119"/>
        <v>0</v>
      </c>
      <c r="EI17" s="143">
        <f t="shared" si="119"/>
        <v>0</v>
      </c>
      <c r="EJ17" s="143">
        <f t="shared" si="119"/>
        <v>0</v>
      </c>
      <c r="EK17" s="143">
        <f t="shared" si="119"/>
        <v>0</v>
      </c>
      <c r="EL17" s="143">
        <f t="shared" si="119"/>
        <v>0</v>
      </c>
    </row>
    <row r="18">
      <c r="A18" s="145" t="s">
        <v>74</v>
      </c>
      <c r="B18" s="132">
        <f t="shared" si="10"/>
        <v>0</v>
      </c>
      <c r="C18" s="148"/>
      <c r="D18" s="134">
        <f t="shared" si="11"/>
        <v>0</v>
      </c>
      <c r="E18" s="135">
        <f t="shared" si="12"/>
        <v>0</v>
      </c>
      <c r="F18" s="132">
        <f t="shared" si="13"/>
        <v>0</v>
      </c>
      <c r="G18" s="136">
        <f t="shared" si="14"/>
        <v>0</v>
      </c>
      <c r="H18" s="137">
        <v>100.0</v>
      </c>
      <c r="I18" s="138" t="str">
        <f t="shared" si="83"/>
        <v>Gum Base</v>
      </c>
      <c r="J18" s="139">
        <f t="shared" si="15"/>
        <v>0</v>
      </c>
      <c r="K18" s="140">
        <f t="shared" si="16"/>
        <v>15</v>
      </c>
      <c r="L18" s="139" t="s">
        <v>61</v>
      </c>
      <c r="M18" s="139" t="s">
        <v>61</v>
      </c>
      <c r="N18" s="139">
        <v>2.0</v>
      </c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39">
        <v>1.0</v>
      </c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2"/>
      <c r="BE18" s="143">
        <f t="shared" si="17"/>
        <v>0</v>
      </c>
      <c r="BF18" s="143">
        <f t="shared" si="18"/>
        <v>0</v>
      </c>
      <c r="BG18" s="143">
        <f t="shared" ref="BG18:BT18" si="120">$G18*N18*IF($H18&gt;50,18,36)+$F18*N18*IF($H18&gt;50,4,8)+$E18*N18</f>
        <v>0</v>
      </c>
      <c r="BH18" s="143">
        <f t="shared" si="120"/>
        <v>0</v>
      </c>
      <c r="BI18" s="143">
        <f t="shared" si="120"/>
        <v>0</v>
      </c>
      <c r="BJ18" s="143">
        <f t="shared" si="120"/>
        <v>0</v>
      </c>
      <c r="BK18" s="143">
        <f t="shared" si="120"/>
        <v>0</v>
      </c>
      <c r="BL18" s="143">
        <f t="shared" si="120"/>
        <v>0</v>
      </c>
      <c r="BM18" s="143">
        <f t="shared" si="120"/>
        <v>0</v>
      </c>
      <c r="BN18" s="143">
        <f t="shared" si="120"/>
        <v>0</v>
      </c>
      <c r="BO18" s="143">
        <f t="shared" si="120"/>
        <v>0</v>
      </c>
      <c r="BP18" s="143">
        <f t="shared" si="120"/>
        <v>0</v>
      </c>
      <c r="BQ18" s="143">
        <f t="shared" si="120"/>
        <v>0</v>
      </c>
      <c r="BR18" s="143">
        <f t="shared" si="120"/>
        <v>0</v>
      </c>
      <c r="BS18" s="143">
        <f t="shared" si="120"/>
        <v>0</v>
      </c>
      <c r="BT18" s="143">
        <f t="shared" si="120"/>
        <v>0</v>
      </c>
      <c r="BU18" s="143">
        <f t="shared" si="20"/>
        <v>0</v>
      </c>
      <c r="BV18" s="143">
        <f t="shared" si="21"/>
        <v>0</v>
      </c>
      <c r="BW18" s="143">
        <f t="shared" ref="BW18:BX18" si="121">$G18*AD18*IF($H18&gt;50,18,36)+$F18*AD18*IF($H18&gt;50,4,8)+$E18*AD18</f>
        <v>0</v>
      </c>
      <c r="BX18" s="143">
        <f t="shared" si="121"/>
        <v>0</v>
      </c>
      <c r="BY18" s="143">
        <f t="shared" si="23"/>
        <v>0</v>
      </c>
      <c r="BZ18" s="143">
        <f t="shared" si="24"/>
        <v>0</v>
      </c>
      <c r="CA18" s="143">
        <f t="shared" si="25"/>
        <v>0</v>
      </c>
      <c r="CB18" s="143">
        <f t="shared" si="26"/>
        <v>0</v>
      </c>
      <c r="CC18" s="143">
        <f t="shared" si="27"/>
        <v>0</v>
      </c>
      <c r="CD18" s="143">
        <f t="shared" si="28"/>
        <v>0</v>
      </c>
      <c r="CE18" s="143">
        <f t="shared" si="29"/>
        <v>0</v>
      </c>
      <c r="CF18" s="143">
        <f t="shared" si="30"/>
        <v>0</v>
      </c>
      <c r="CG18" s="143">
        <f t="shared" si="31"/>
        <v>0</v>
      </c>
      <c r="CH18" s="143">
        <f t="shared" si="32"/>
        <v>0</v>
      </c>
      <c r="CI18" s="143">
        <f t="shared" si="33"/>
        <v>0</v>
      </c>
      <c r="CJ18" s="143">
        <f t="shared" si="34"/>
        <v>0</v>
      </c>
      <c r="CK18" s="143">
        <f t="shared" ref="CK18:CV18" si="122">$G18*AR18*IF($H18&gt;50,18,36)+$F18*AR18*IF($H18&gt;50,4,8)+$E18*AR18</f>
        <v>0</v>
      </c>
      <c r="CL18" s="143">
        <f t="shared" si="122"/>
        <v>0</v>
      </c>
      <c r="CM18" s="143">
        <f t="shared" si="122"/>
        <v>0</v>
      </c>
      <c r="CN18" s="143">
        <f t="shared" si="122"/>
        <v>0</v>
      </c>
      <c r="CO18" s="143">
        <f t="shared" si="122"/>
        <v>0</v>
      </c>
      <c r="CP18" s="143">
        <f t="shared" si="122"/>
        <v>0</v>
      </c>
      <c r="CQ18" s="143">
        <f t="shared" si="122"/>
        <v>0</v>
      </c>
      <c r="CR18" s="143">
        <f t="shared" si="122"/>
        <v>0</v>
      </c>
      <c r="CS18" s="143">
        <f t="shared" si="122"/>
        <v>0</v>
      </c>
      <c r="CT18" s="143">
        <f t="shared" si="122"/>
        <v>0</v>
      </c>
      <c r="CU18" s="143">
        <f t="shared" si="122"/>
        <v>0</v>
      </c>
      <c r="CV18" s="143">
        <f t="shared" si="122"/>
        <v>0</v>
      </c>
      <c r="CW18" s="143"/>
      <c r="CX18" s="143">
        <f t="shared" ref="CX18:DJ18" si="123">O18*BH$2/($H18/50)^2</f>
        <v>0</v>
      </c>
      <c r="CY18" s="143">
        <f t="shared" si="123"/>
        <v>0</v>
      </c>
      <c r="CZ18" s="143">
        <f t="shared" si="123"/>
        <v>0</v>
      </c>
      <c r="DA18" s="143">
        <f t="shared" si="123"/>
        <v>0</v>
      </c>
      <c r="DB18" s="143">
        <f t="shared" si="123"/>
        <v>0</v>
      </c>
      <c r="DC18" s="143">
        <f t="shared" si="123"/>
        <v>0</v>
      </c>
      <c r="DD18" s="143">
        <f t="shared" si="123"/>
        <v>0</v>
      </c>
      <c r="DE18" s="143">
        <f t="shared" si="123"/>
        <v>0</v>
      </c>
      <c r="DF18" s="143">
        <f t="shared" si="123"/>
        <v>0</v>
      </c>
      <c r="DG18" s="143">
        <f t="shared" si="123"/>
        <v>0</v>
      </c>
      <c r="DH18" s="143">
        <f t="shared" si="123"/>
        <v>0</v>
      </c>
      <c r="DI18" s="143">
        <f t="shared" si="123"/>
        <v>0</v>
      </c>
      <c r="DJ18" s="143">
        <f t="shared" si="123"/>
        <v>0</v>
      </c>
      <c r="DK18" s="143">
        <f t="shared" si="37"/>
        <v>0</v>
      </c>
      <c r="DL18" s="143">
        <f t="shared" si="38"/>
        <v>0</v>
      </c>
      <c r="DM18" s="143">
        <f t="shared" ref="DM18:DN18" si="124">AD18*BW$2/($H18/50)^2</f>
        <v>0</v>
      </c>
      <c r="DN18" s="143">
        <f t="shared" si="124"/>
        <v>0</v>
      </c>
      <c r="DO18" s="143">
        <f t="shared" si="40"/>
        <v>0</v>
      </c>
      <c r="DP18" s="143">
        <f t="shared" si="41"/>
        <v>0</v>
      </c>
      <c r="DQ18" s="143">
        <f t="shared" si="42"/>
        <v>0</v>
      </c>
      <c r="DR18" s="143">
        <f t="shared" si="43"/>
        <v>0</v>
      </c>
      <c r="DS18" s="143">
        <f t="shared" si="44"/>
        <v>0</v>
      </c>
      <c r="DT18" s="143">
        <f t="shared" si="45"/>
        <v>0</v>
      </c>
      <c r="DU18" s="143">
        <f t="shared" si="46"/>
        <v>0</v>
      </c>
      <c r="DV18" s="143">
        <f t="shared" si="47"/>
        <v>0</v>
      </c>
      <c r="DW18" s="143">
        <f t="shared" si="48"/>
        <v>0</v>
      </c>
      <c r="DX18" s="143">
        <f t="shared" si="49"/>
        <v>0</v>
      </c>
      <c r="DY18" s="143">
        <f t="shared" si="50"/>
        <v>0</v>
      </c>
      <c r="DZ18" s="143">
        <f t="shared" si="51"/>
        <v>2.5</v>
      </c>
      <c r="EA18" s="143">
        <f t="shared" ref="EA18:EL18" si="125">AR18*CK$2/($H18/50)^2</f>
        <v>0</v>
      </c>
      <c r="EB18" s="143">
        <f t="shared" si="125"/>
        <v>0</v>
      </c>
      <c r="EC18" s="143">
        <f t="shared" si="125"/>
        <v>0</v>
      </c>
      <c r="ED18" s="143">
        <f t="shared" si="125"/>
        <v>0</v>
      </c>
      <c r="EE18" s="143">
        <f t="shared" si="125"/>
        <v>0</v>
      </c>
      <c r="EF18" s="143">
        <f t="shared" si="125"/>
        <v>0</v>
      </c>
      <c r="EG18" s="143">
        <f t="shared" si="125"/>
        <v>0</v>
      </c>
      <c r="EH18" s="143">
        <f t="shared" si="125"/>
        <v>0</v>
      </c>
      <c r="EI18" s="143">
        <f t="shared" si="125"/>
        <v>0</v>
      </c>
      <c r="EJ18" s="143">
        <f t="shared" si="125"/>
        <v>0</v>
      </c>
      <c r="EK18" s="143">
        <f t="shared" si="125"/>
        <v>0</v>
      </c>
      <c r="EL18" s="143">
        <f t="shared" si="125"/>
        <v>0</v>
      </c>
    </row>
    <row r="19">
      <c r="A19" s="149" t="s">
        <v>75</v>
      </c>
      <c r="B19" s="132">
        <f t="shared" si="10"/>
        <v>0</v>
      </c>
      <c r="C19" s="144"/>
      <c r="D19" s="134">
        <f t="shared" si="11"/>
        <v>0</v>
      </c>
      <c r="E19" s="135">
        <f t="shared" si="12"/>
        <v>0</v>
      </c>
      <c r="F19" s="132">
        <f t="shared" si="13"/>
        <v>0</v>
      </c>
      <c r="G19" s="136">
        <f t="shared" si="14"/>
        <v>0</v>
      </c>
      <c r="H19" s="137">
        <v>100.0</v>
      </c>
      <c r="I19" s="137" t="str">
        <f t="shared" ref="I19:I39" si="132">$A$5</f>
        <v>Compound Base</v>
      </c>
      <c r="J19" s="139">
        <f t="shared" si="15"/>
        <v>0</v>
      </c>
      <c r="K19" s="140">
        <f t="shared" si="16"/>
        <v>67</v>
      </c>
      <c r="L19" s="139" t="s">
        <v>61</v>
      </c>
      <c r="M19" s="139" t="s">
        <v>61</v>
      </c>
      <c r="N19" s="139">
        <v>1.0</v>
      </c>
      <c r="O19" s="139">
        <v>2.0</v>
      </c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2"/>
      <c r="BE19" s="143">
        <f t="shared" si="17"/>
        <v>0</v>
      </c>
      <c r="BF19" s="143">
        <f t="shared" si="18"/>
        <v>0</v>
      </c>
      <c r="BG19" s="143">
        <f t="shared" ref="BG19:BT19" si="126">$G19*N19*IF($H19&gt;50,18,36)+$F19*N19*IF($H19&gt;50,4,8)+$E19*N19</f>
        <v>0</v>
      </c>
      <c r="BH19" s="143">
        <f t="shared" si="126"/>
        <v>0</v>
      </c>
      <c r="BI19" s="143">
        <f t="shared" si="126"/>
        <v>0</v>
      </c>
      <c r="BJ19" s="143">
        <f t="shared" si="126"/>
        <v>0</v>
      </c>
      <c r="BK19" s="143">
        <f t="shared" si="126"/>
        <v>0</v>
      </c>
      <c r="BL19" s="143">
        <f t="shared" si="126"/>
        <v>0</v>
      </c>
      <c r="BM19" s="143">
        <f t="shared" si="126"/>
        <v>0</v>
      </c>
      <c r="BN19" s="143">
        <f t="shared" si="126"/>
        <v>0</v>
      </c>
      <c r="BO19" s="143">
        <f t="shared" si="126"/>
        <v>0</v>
      </c>
      <c r="BP19" s="143">
        <f t="shared" si="126"/>
        <v>0</v>
      </c>
      <c r="BQ19" s="143">
        <f t="shared" si="126"/>
        <v>0</v>
      </c>
      <c r="BR19" s="143">
        <f t="shared" si="126"/>
        <v>0</v>
      </c>
      <c r="BS19" s="143">
        <f t="shared" si="126"/>
        <v>0</v>
      </c>
      <c r="BT19" s="143">
        <f t="shared" si="126"/>
        <v>0</v>
      </c>
      <c r="BU19" s="143">
        <f t="shared" si="20"/>
        <v>0</v>
      </c>
      <c r="BV19" s="143">
        <f t="shared" si="21"/>
        <v>0</v>
      </c>
      <c r="BW19" s="143">
        <f t="shared" ref="BW19:BX19" si="127">$G19*AD19*IF($H19&gt;50,18,36)+$F19*AD19*IF($H19&gt;50,4,8)+$E19*AD19</f>
        <v>0</v>
      </c>
      <c r="BX19" s="143">
        <f t="shared" si="127"/>
        <v>0</v>
      </c>
      <c r="BY19" s="143">
        <f t="shared" si="23"/>
        <v>0</v>
      </c>
      <c r="BZ19" s="143">
        <f t="shared" si="24"/>
        <v>0</v>
      </c>
      <c r="CA19" s="143">
        <f t="shared" si="25"/>
        <v>0</v>
      </c>
      <c r="CB19" s="143">
        <f t="shared" si="26"/>
        <v>0</v>
      </c>
      <c r="CC19" s="143">
        <f t="shared" si="27"/>
        <v>0</v>
      </c>
      <c r="CD19" s="143">
        <f t="shared" si="28"/>
        <v>0</v>
      </c>
      <c r="CE19" s="143">
        <f t="shared" si="29"/>
        <v>0</v>
      </c>
      <c r="CF19" s="143">
        <f t="shared" si="30"/>
        <v>0</v>
      </c>
      <c r="CG19" s="143">
        <f t="shared" si="31"/>
        <v>0</v>
      </c>
      <c r="CH19" s="143">
        <f t="shared" si="32"/>
        <v>0</v>
      </c>
      <c r="CI19" s="143">
        <f t="shared" si="33"/>
        <v>0</v>
      </c>
      <c r="CJ19" s="143">
        <f t="shared" si="34"/>
        <v>0</v>
      </c>
      <c r="CK19" s="143">
        <f t="shared" ref="CK19:CV19" si="128">$G19*AR19*IF($H19&gt;50,18,36)+$F19*AR19*IF($H19&gt;50,4,8)+$E19*AR19</f>
        <v>0</v>
      </c>
      <c r="CL19" s="143">
        <f t="shared" si="128"/>
        <v>0</v>
      </c>
      <c r="CM19" s="143">
        <f t="shared" si="128"/>
        <v>0</v>
      </c>
      <c r="CN19" s="143">
        <f t="shared" si="128"/>
        <v>0</v>
      </c>
      <c r="CO19" s="143">
        <f t="shared" si="128"/>
        <v>0</v>
      </c>
      <c r="CP19" s="143">
        <f t="shared" si="128"/>
        <v>0</v>
      </c>
      <c r="CQ19" s="143">
        <f t="shared" si="128"/>
        <v>0</v>
      </c>
      <c r="CR19" s="143">
        <f t="shared" si="128"/>
        <v>0</v>
      </c>
      <c r="CS19" s="143">
        <f t="shared" si="128"/>
        <v>0</v>
      </c>
      <c r="CT19" s="143">
        <f t="shared" si="128"/>
        <v>0</v>
      </c>
      <c r="CU19" s="143">
        <f t="shared" si="128"/>
        <v>0</v>
      </c>
      <c r="CV19" s="143">
        <f t="shared" si="128"/>
        <v>0</v>
      </c>
      <c r="CW19" s="143"/>
      <c r="CX19" s="143">
        <f t="shared" ref="CX19:DJ19" si="129">O19*BH$2/($H19/50)^2</f>
        <v>2</v>
      </c>
      <c r="CY19" s="143">
        <f t="shared" si="129"/>
        <v>0</v>
      </c>
      <c r="CZ19" s="143">
        <f t="shared" si="129"/>
        <v>0</v>
      </c>
      <c r="DA19" s="143">
        <f t="shared" si="129"/>
        <v>0</v>
      </c>
      <c r="DB19" s="143">
        <f t="shared" si="129"/>
        <v>0</v>
      </c>
      <c r="DC19" s="143">
        <f t="shared" si="129"/>
        <v>0</v>
      </c>
      <c r="DD19" s="143">
        <f t="shared" si="129"/>
        <v>0</v>
      </c>
      <c r="DE19" s="143">
        <f t="shared" si="129"/>
        <v>0</v>
      </c>
      <c r="DF19" s="143">
        <f t="shared" si="129"/>
        <v>0</v>
      </c>
      <c r="DG19" s="143">
        <f t="shared" si="129"/>
        <v>0</v>
      </c>
      <c r="DH19" s="143">
        <f t="shared" si="129"/>
        <v>0</v>
      </c>
      <c r="DI19" s="143">
        <f t="shared" si="129"/>
        <v>0</v>
      </c>
      <c r="DJ19" s="143">
        <f t="shared" si="129"/>
        <v>0</v>
      </c>
      <c r="DK19" s="143">
        <f t="shared" si="37"/>
        <v>0</v>
      </c>
      <c r="DL19" s="143">
        <f t="shared" si="38"/>
        <v>0</v>
      </c>
      <c r="DM19" s="143">
        <f t="shared" ref="DM19:DN19" si="130">AD19*BW$2/($H19/50)^2</f>
        <v>0</v>
      </c>
      <c r="DN19" s="143">
        <f t="shared" si="130"/>
        <v>0</v>
      </c>
      <c r="DO19" s="143">
        <f t="shared" si="40"/>
        <v>0</v>
      </c>
      <c r="DP19" s="143">
        <f t="shared" si="41"/>
        <v>0</v>
      </c>
      <c r="DQ19" s="143">
        <f t="shared" si="42"/>
        <v>0</v>
      </c>
      <c r="DR19" s="143">
        <f t="shared" si="43"/>
        <v>0</v>
      </c>
      <c r="DS19" s="143">
        <f t="shared" si="44"/>
        <v>0</v>
      </c>
      <c r="DT19" s="143">
        <f t="shared" si="45"/>
        <v>0</v>
      </c>
      <c r="DU19" s="143">
        <f t="shared" si="46"/>
        <v>0</v>
      </c>
      <c r="DV19" s="143">
        <f t="shared" si="47"/>
        <v>0</v>
      </c>
      <c r="DW19" s="143">
        <f t="shared" si="48"/>
        <v>0</v>
      </c>
      <c r="DX19" s="143">
        <f t="shared" si="49"/>
        <v>0</v>
      </c>
      <c r="DY19" s="143">
        <f t="shared" si="50"/>
        <v>0</v>
      </c>
      <c r="DZ19" s="143">
        <f t="shared" si="51"/>
        <v>0</v>
      </c>
      <c r="EA19" s="143">
        <f t="shared" ref="EA19:EL19" si="131">AR19*CK$2/($H19/50)^2</f>
        <v>0</v>
      </c>
      <c r="EB19" s="143">
        <f t="shared" si="131"/>
        <v>0</v>
      </c>
      <c r="EC19" s="143">
        <f t="shared" si="131"/>
        <v>0</v>
      </c>
      <c r="ED19" s="143">
        <f t="shared" si="131"/>
        <v>0</v>
      </c>
      <c r="EE19" s="143">
        <f t="shared" si="131"/>
        <v>0</v>
      </c>
      <c r="EF19" s="143">
        <f t="shared" si="131"/>
        <v>0</v>
      </c>
      <c r="EG19" s="143">
        <f t="shared" si="131"/>
        <v>0</v>
      </c>
      <c r="EH19" s="143">
        <f t="shared" si="131"/>
        <v>0</v>
      </c>
      <c r="EI19" s="143">
        <f t="shared" si="131"/>
        <v>0</v>
      </c>
      <c r="EJ19" s="143">
        <f t="shared" si="131"/>
        <v>0</v>
      </c>
      <c r="EK19" s="143">
        <f t="shared" si="131"/>
        <v>0</v>
      </c>
      <c r="EL19" s="143">
        <f t="shared" si="131"/>
        <v>0</v>
      </c>
    </row>
    <row r="20">
      <c r="A20" s="149" t="s">
        <v>76</v>
      </c>
      <c r="B20" s="132">
        <f t="shared" si="10"/>
        <v>0</v>
      </c>
      <c r="C20" s="150"/>
      <c r="D20" s="134">
        <f t="shared" si="11"/>
        <v>0</v>
      </c>
      <c r="E20" s="135">
        <f t="shared" si="12"/>
        <v>0</v>
      </c>
      <c r="F20" s="132">
        <f t="shared" si="13"/>
        <v>0</v>
      </c>
      <c r="G20" s="136">
        <f t="shared" si="14"/>
        <v>0</v>
      </c>
      <c r="H20" s="137">
        <v>100.0</v>
      </c>
      <c r="I20" s="137" t="str">
        <f t="shared" si="132"/>
        <v>Compound Base</v>
      </c>
      <c r="J20" s="139">
        <f t="shared" si="15"/>
        <v>0</v>
      </c>
      <c r="K20" s="140">
        <f t="shared" si="16"/>
        <v>77</v>
      </c>
      <c r="L20" s="139">
        <v>200.0</v>
      </c>
      <c r="M20" s="139">
        <v>500.0</v>
      </c>
      <c r="N20" s="139">
        <v>2.0</v>
      </c>
      <c r="O20" s="139">
        <v>2.0</v>
      </c>
      <c r="P20" s="139"/>
      <c r="Q20" s="139">
        <v>1.0</v>
      </c>
      <c r="R20" s="139"/>
      <c r="S20" s="139"/>
      <c r="T20" s="139"/>
      <c r="U20" s="141"/>
      <c r="V20" s="141"/>
      <c r="W20" s="141"/>
      <c r="X20" s="141"/>
      <c r="Y20" s="141"/>
      <c r="Z20" s="141"/>
      <c r="AA20" s="141"/>
      <c r="AB20" s="141"/>
      <c r="AC20" s="139">
        <v>1.0</v>
      </c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2"/>
      <c r="BE20" s="143">
        <f t="shared" si="17"/>
        <v>0</v>
      </c>
      <c r="BF20" s="143">
        <f t="shared" si="18"/>
        <v>0</v>
      </c>
      <c r="BG20" s="143">
        <f t="shared" ref="BG20:BT20" si="133">$G20*N20*IF($H20&gt;50,18,36)+$F20*N20*IF($H20&gt;50,4,8)+$E20*N20</f>
        <v>0</v>
      </c>
      <c r="BH20" s="143">
        <f t="shared" si="133"/>
        <v>0</v>
      </c>
      <c r="BI20" s="143">
        <f t="shared" si="133"/>
        <v>0</v>
      </c>
      <c r="BJ20" s="143">
        <f t="shared" si="133"/>
        <v>0</v>
      </c>
      <c r="BK20" s="143">
        <f t="shared" si="133"/>
        <v>0</v>
      </c>
      <c r="BL20" s="143">
        <f t="shared" si="133"/>
        <v>0</v>
      </c>
      <c r="BM20" s="143">
        <f t="shared" si="133"/>
        <v>0</v>
      </c>
      <c r="BN20" s="143">
        <f t="shared" si="133"/>
        <v>0</v>
      </c>
      <c r="BO20" s="143">
        <f t="shared" si="133"/>
        <v>0</v>
      </c>
      <c r="BP20" s="143">
        <f t="shared" si="133"/>
        <v>0</v>
      </c>
      <c r="BQ20" s="143">
        <f t="shared" si="133"/>
        <v>0</v>
      </c>
      <c r="BR20" s="143">
        <f t="shared" si="133"/>
        <v>0</v>
      </c>
      <c r="BS20" s="143">
        <f t="shared" si="133"/>
        <v>0</v>
      </c>
      <c r="BT20" s="143">
        <f t="shared" si="133"/>
        <v>0</v>
      </c>
      <c r="BU20" s="143">
        <f t="shared" si="20"/>
        <v>0</v>
      </c>
      <c r="BV20" s="143">
        <f t="shared" si="21"/>
        <v>0</v>
      </c>
      <c r="BW20" s="143">
        <f t="shared" ref="BW20:BX20" si="134">$G20*AD20*IF($H20&gt;50,18,36)+$F20*AD20*IF($H20&gt;50,4,8)+$E20*AD20</f>
        <v>0</v>
      </c>
      <c r="BX20" s="143">
        <f t="shared" si="134"/>
        <v>0</v>
      </c>
      <c r="BY20" s="143">
        <f t="shared" si="23"/>
        <v>0</v>
      </c>
      <c r="BZ20" s="143">
        <f t="shared" si="24"/>
        <v>0</v>
      </c>
      <c r="CA20" s="143">
        <f t="shared" si="25"/>
        <v>0</v>
      </c>
      <c r="CB20" s="143">
        <f t="shared" si="26"/>
        <v>0</v>
      </c>
      <c r="CC20" s="143">
        <f t="shared" si="27"/>
        <v>0</v>
      </c>
      <c r="CD20" s="143">
        <f t="shared" si="28"/>
        <v>0</v>
      </c>
      <c r="CE20" s="143">
        <f t="shared" si="29"/>
        <v>0</v>
      </c>
      <c r="CF20" s="143">
        <f t="shared" si="30"/>
        <v>0</v>
      </c>
      <c r="CG20" s="143">
        <f t="shared" si="31"/>
        <v>0</v>
      </c>
      <c r="CH20" s="143">
        <f t="shared" si="32"/>
        <v>0</v>
      </c>
      <c r="CI20" s="143">
        <f t="shared" si="33"/>
        <v>0</v>
      </c>
      <c r="CJ20" s="143">
        <f t="shared" si="34"/>
        <v>0</v>
      </c>
      <c r="CK20" s="143">
        <f t="shared" ref="CK20:CV20" si="135">$G20*AR20*IF($H20&gt;50,18,36)+$F20*AR20*IF($H20&gt;50,4,8)+$E20*AR20</f>
        <v>0</v>
      </c>
      <c r="CL20" s="143">
        <f t="shared" si="135"/>
        <v>0</v>
      </c>
      <c r="CM20" s="143">
        <f t="shared" si="135"/>
        <v>0</v>
      </c>
      <c r="CN20" s="143">
        <f t="shared" si="135"/>
        <v>0</v>
      </c>
      <c r="CO20" s="143">
        <f t="shared" si="135"/>
        <v>0</v>
      </c>
      <c r="CP20" s="143">
        <f t="shared" si="135"/>
        <v>0</v>
      </c>
      <c r="CQ20" s="143">
        <f t="shared" si="135"/>
        <v>0</v>
      </c>
      <c r="CR20" s="143">
        <f t="shared" si="135"/>
        <v>0</v>
      </c>
      <c r="CS20" s="143">
        <f t="shared" si="135"/>
        <v>0</v>
      </c>
      <c r="CT20" s="143">
        <f t="shared" si="135"/>
        <v>0</v>
      </c>
      <c r="CU20" s="143">
        <f t="shared" si="135"/>
        <v>0</v>
      </c>
      <c r="CV20" s="143">
        <f t="shared" si="135"/>
        <v>0</v>
      </c>
      <c r="CW20" s="143"/>
      <c r="CX20" s="143">
        <f t="shared" ref="CX20:DJ20" si="136">O20*BH$2/($H20/50)^2</f>
        <v>2</v>
      </c>
      <c r="CY20" s="143">
        <f t="shared" si="136"/>
        <v>0</v>
      </c>
      <c r="CZ20" s="143">
        <f t="shared" si="136"/>
        <v>2.5</v>
      </c>
      <c r="DA20" s="143">
        <f t="shared" si="136"/>
        <v>0</v>
      </c>
      <c r="DB20" s="143">
        <f t="shared" si="136"/>
        <v>0</v>
      </c>
      <c r="DC20" s="143">
        <f t="shared" si="136"/>
        <v>0</v>
      </c>
      <c r="DD20" s="143">
        <f t="shared" si="136"/>
        <v>0</v>
      </c>
      <c r="DE20" s="143">
        <f t="shared" si="136"/>
        <v>0</v>
      </c>
      <c r="DF20" s="143">
        <f t="shared" si="136"/>
        <v>0</v>
      </c>
      <c r="DG20" s="143">
        <f t="shared" si="136"/>
        <v>0</v>
      </c>
      <c r="DH20" s="143">
        <f t="shared" si="136"/>
        <v>0</v>
      </c>
      <c r="DI20" s="143">
        <f t="shared" si="136"/>
        <v>0</v>
      </c>
      <c r="DJ20" s="143">
        <f t="shared" si="136"/>
        <v>0</v>
      </c>
      <c r="DK20" s="143">
        <f t="shared" si="37"/>
        <v>7.5</v>
      </c>
      <c r="DL20" s="143">
        <f t="shared" si="38"/>
        <v>0</v>
      </c>
      <c r="DM20" s="143">
        <f t="shared" ref="DM20:DN20" si="137">AD20*BW$2/($H20/50)^2</f>
        <v>0</v>
      </c>
      <c r="DN20" s="143">
        <f t="shared" si="137"/>
        <v>0</v>
      </c>
      <c r="DO20" s="143">
        <f t="shared" si="40"/>
        <v>0</v>
      </c>
      <c r="DP20" s="143">
        <f t="shared" si="41"/>
        <v>0</v>
      </c>
      <c r="DQ20" s="143">
        <f t="shared" si="42"/>
        <v>0</v>
      </c>
      <c r="DR20" s="143">
        <f t="shared" si="43"/>
        <v>0</v>
      </c>
      <c r="DS20" s="143">
        <f t="shared" si="44"/>
        <v>0</v>
      </c>
      <c r="DT20" s="143">
        <f t="shared" si="45"/>
        <v>0</v>
      </c>
      <c r="DU20" s="143">
        <f t="shared" si="46"/>
        <v>0</v>
      </c>
      <c r="DV20" s="143">
        <f t="shared" si="47"/>
        <v>0</v>
      </c>
      <c r="DW20" s="143">
        <f t="shared" si="48"/>
        <v>0</v>
      </c>
      <c r="DX20" s="143">
        <f t="shared" si="49"/>
        <v>0</v>
      </c>
      <c r="DY20" s="143">
        <f t="shared" si="50"/>
        <v>0</v>
      </c>
      <c r="DZ20" s="143">
        <f t="shared" si="51"/>
        <v>0</v>
      </c>
      <c r="EA20" s="143">
        <f t="shared" ref="EA20:EL20" si="138">AR20*CK$2/($H20/50)^2</f>
        <v>0</v>
      </c>
      <c r="EB20" s="143">
        <f t="shared" si="138"/>
        <v>0</v>
      </c>
      <c r="EC20" s="143">
        <f t="shared" si="138"/>
        <v>0</v>
      </c>
      <c r="ED20" s="143">
        <f t="shared" si="138"/>
        <v>0</v>
      </c>
      <c r="EE20" s="143">
        <f t="shared" si="138"/>
        <v>0</v>
      </c>
      <c r="EF20" s="143">
        <f t="shared" si="138"/>
        <v>0</v>
      </c>
      <c r="EG20" s="143">
        <f t="shared" si="138"/>
        <v>0</v>
      </c>
      <c r="EH20" s="143">
        <f t="shared" si="138"/>
        <v>0</v>
      </c>
      <c r="EI20" s="143">
        <f t="shared" si="138"/>
        <v>0</v>
      </c>
      <c r="EJ20" s="143">
        <f t="shared" si="138"/>
        <v>0</v>
      </c>
      <c r="EK20" s="143">
        <f t="shared" si="138"/>
        <v>0</v>
      </c>
      <c r="EL20" s="143">
        <f t="shared" si="138"/>
        <v>0</v>
      </c>
    </row>
    <row r="21">
      <c r="A21" s="149" t="s">
        <v>77</v>
      </c>
      <c r="B21" s="132">
        <f t="shared" si="10"/>
        <v>0</v>
      </c>
      <c r="C21" s="150">
        <v>6.0</v>
      </c>
      <c r="D21" s="134">
        <f t="shared" si="11"/>
        <v>6</v>
      </c>
      <c r="E21" s="135">
        <f t="shared" si="12"/>
        <v>6</v>
      </c>
      <c r="F21" s="132">
        <f t="shared" si="13"/>
        <v>0</v>
      </c>
      <c r="G21" s="136">
        <f t="shared" si="14"/>
        <v>0</v>
      </c>
      <c r="H21" s="137">
        <v>100.0</v>
      </c>
      <c r="I21" s="137" t="str">
        <f t="shared" si="132"/>
        <v>Compound Base</v>
      </c>
      <c r="J21" s="139">
        <f t="shared" si="15"/>
        <v>534</v>
      </c>
      <c r="K21" s="140">
        <f t="shared" si="16"/>
        <v>89</v>
      </c>
      <c r="L21" s="139">
        <v>400.0</v>
      </c>
      <c r="M21" s="139">
        <v>2000.0</v>
      </c>
      <c r="N21" s="139">
        <v>4.0</v>
      </c>
      <c r="O21" s="139">
        <v>4.0</v>
      </c>
      <c r="P21" s="141"/>
      <c r="Q21" s="141"/>
      <c r="R21" s="139"/>
      <c r="S21" s="139">
        <v>1.0</v>
      </c>
      <c r="T21" s="139"/>
      <c r="U21" s="141"/>
      <c r="V21" s="141"/>
      <c r="W21" s="141"/>
      <c r="X21" s="141"/>
      <c r="Y21" s="141"/>
      <c r="Z21" s="141"/>
      <c r="AA21" s="141"/>
      <c r="AB21" s="141"/>
      <c r="AC21" s="139">
        <v>1.0</v>
      </c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2"/>
      <c r="BE21" s="143">
        <f t="shared" si="17"/>
        <v>2400</v>
      </c>
      <c r="BF21" s="143">
        <f t="shared" si="18"/>
        <v>2000</v>
      </c>
      <c r="BG21" s="143">
        <f t="shared" ref="BG21:BT21" si="139">$G21*N21*IF($H21&gt;50,18,36)+$F21*N21*IF($H21&gt;50,4,8)+$E21*N21</f>
        <v>24</v>
      </c>
      <c r="BH21" s="143">
        <f t="shared" si="139"/>
        <v>24</v>
      </c>
      <c r="BI21" s="143">
        <f t="shared" si="139"/>
        <v>0</v>
      </c>
      <c r="BJ21" s="143">
        <f t="shared" si="139"/>
        <v>0</v>
      </c>
      <c r="BK21" s="143">
        <f t="shared" si="139"/>
        <v>0</v>
      </c>
      <c r="BL21" s="143">
        <f t="shared" si="139"/>
        <v>6</v>
      </c>
      <c r="BM21" s="143">
        <f t="shared" si="139"/>
        <v>0</v>
      </c>
      <c r="BN21" s="143">
        <f t="shared" si="139"/>
        <v>0</v>
      </c>
      <c r="BO21" s="143">
        <f t="shared" si="139"/>
        <v>0</v>
      </c>
      <c r="BP21" s="143">
        <f t="shared" si="139"/>
        <v>0</v>
      </c>
      <c r="BQ21" s="143">
        <f t="shared" si="139"/>
        <v>0</v>
      </c>
      <c r="BR21" s="143">
        <f t="shared" si="139"/>
        <v>0</v>
      </c>
      <c r="BS21" s="143">
        <f t="shared" si="139"/>
        <v>0</v>
      </c>
      <c r="BT21" s="143">
        <f t="shared" si="139"/>
        <v>0</v>
      </c>
      <c r="BU21" s="143">
        <f t="shared" si="20"/>
        <v>6</v>
      </c>
      <c r="BV21" s="143">
        <f t="shared" si="21"/>
        <v>0</v>
      </c>
      <c r="BW21" s="143">
        <f t="shared" ref="BW21:BX21" si="140">$G21*AD21*IF($H21&gt;50,18,36)+$F21*AD21*IF($H21&gt;50,4,8)+$E21*AD21</f>
        <v>0</v>
      </c>
      <c r="BX21" s="143">
        <f t="shared" si="140"/>
        <v>0</v>
      </c>
      <c r="BY21" s="143">
        <f t="shared" si="23"/>
        <v>0</v>
      </c>
      <c r="BZ21" s="143">
        <f t="shared" si="24"/>
        <v>0</v>
      </c>
      <c r="CA21" s="143">
        <f t="shared" si="25"/>
        <v>0</v>
      </c>
      <c r="CB21" s="143">
        <f t="shared" si="26"/>
        <v>0</v>
      </c>
      <c r="CC21" s="143">
        <f t="shared" si="27"/>
        <v>0</v>
      </c>
      <c r="CD21" s="143">
        <f t="shared" si="28"/>
        <v>0</v>
      </c>
      <c r="CE21" s="143">
        <f t="shared" si="29"/>
        <v>0</v>
      </c>
      <c r="CF21" s="143">
        <f t="shared" si="30"/>
        <v>0</v>
      </c>
      <c r="CG21" s="143">
        <f t="shared" si="31"/>
        <v>0</v>
      </c>
      <c r="CH21" s="143">
        <f t="shared" si="32"/>
        <v>0</v>
      </c>
      <c r="CI21" s="143">
        <f t="shared" si="33"/>
        <v>0</v>
      </c>
      <c r="CJ21" s="143">
        <f t="shared" si="34"/>
        <v>0</v>
      </c>
      <c r="CK21" s="143">
        <f t="shared" ref="CK21:CV21" si="141">$G21*AR21*IF($H21&gt;50,18,36)+$F21*AR21*IF($H21&gt;50,4,8)+$E21*AR21</f>
        <v>0</v>
      </c>
      <c r="CL21" s="143">
        <f t="shared" si="141"/>
        <v>0</v>
      </c>
      <c r="CM21" s="143">
        <f t="shared" si="141"/>
        <v>0</v>
      </c>
      <c r="CN21" s="143">
        <f t="shared" si="141"/>
        <v>0</v>
      </c>
      <c r="CO21" s="143">
        <f t="shared" si="141"/>
        <v>0</v>
      </c>
      <c r="CP21" s="143">
        <f t="shared" si="141"/>
        <v>0</v>
      </c>
      <c r="CQ21" s="143">
        <f t="shared" si="141"/>
        <v>0</v>
      </c>
      <c r="CR21" s="143">
        <f t="shared" si="141"/>
        <v>0</v>
      </c>
      <c r="CS21" s="143">
        <f t="shared" si="141"/>
        <v>0</v>
      </c>
      <c r="CT21" s="143">
        <f t="shared" si="141"/>
        <v>0</v>
      </c>
      <c r="CU21" s="143">
        <f t="shared" si="141"/>
        <v>0</v>
      </c>
      <c r="CV21" s="143">
        <f t="shared" si="141"/>
        <v>0</v>
      </c>
      <c r="CW21" s="143"/>
      <c r="CX21" s="143">
        <f t="shared" ref="CX21:DJ21" si="142">O21*BH$2/($H21/50)^2</f>
        <v>4</v>
      </c>
      <c r="CY21" s="143">
        <f t="shared" si="142"/>
        <v>0</v>
      </c>
      <c r="CZ21" s="143">
        <f t="shared" si="142"/>
        <v>0</v>
      </c>
      <c r="DA21" s="143">
        <f t="shared" si="142"/>
        <v>0</v>
      </c>
      <c r="DB21" s="143">
        <f t="shared" si="142"/>
        <v>12.5</v>
      </c>
      <c r="DC21" s="143">
        <f t="shared" si="142"/>
        <v>0</v>
      </c>
      <c r="DD21" s="143">
        <f t="shared" si="142"/>
        <v>0</v>
      </c>
      <c r="DE21" s="143">
        <f t="shared" si="142"/>
        <v>0</v>
      </c>
      <c r="DF21" s="143">
        <f t="shared" si="142"/>
        <v>0</v>
      </c>
      <c r="DG21" s="143">
        <f t="shared" si="142"/>
        <v>0</v>
      </c>
      <c r="DH21" s="143">
        <f t="shared" si="142"/>
        <v>0</v>
      </c>
      <c r="DI21" s="143">
        <f t="shared" si="142"/>
        <v>0</v>
      </c>
      <c r="DJ21" s="143">
        <f t="shared" si="142"/>
        <v>0</v>
      </c>
      <c r="DK21" s="143">
        <f t="shared" si="37"/>
        <v>7.5</v>
      </c>
      <c r="DL21" s="143">
        <f t="shared" si="38"/>
        <v>0</v>
      </c>
      <c r="DM21" s="143">
        <f t="shared" ref="DM21:DN21" si="143">AD21*BW$2/($H21/50)^2</f>
        <v>0</v>
      </c>
      <c r="DN21" s="143">
        <f t="shared" si="143"/>
        <v>0</v>
      </c>
      <c r="DO21" s="143">
        <f t="shared" si="40"/>
        <v>0</v>
      </c>
      <c r="DP21" s="143">
        <f t="shared" si="41"/>
        <v>0</v>
      </c>
      <c r="DQ21" s="143">
        <f t="shared" si="42"/>
        <v>0</v>
      </c>
      <c r="DR21" s="143">
        <f t="shared" si="43"/>
        <v>0</v>
      </c>
      <c r="DS21" s="143">
        <f t="shared" si="44"/>
        <v>0</v>
      </c>
      <c r="DT21" s="143">
        <f t="shared" si="45"/>
        <v>0</v>
      </c>
      <c r="DU21" s="143">
        <f t="shared" si="46"/>
        <v>0</v>
      </c>
      <c r="DV21" s="143">
        <f t="shared" si="47"/>
        <v>0</v>
      </c>
      <c r="DW21" s="143">
        <f t="shared" si="48"/>
        <v>0</v>
      </c>
      <c r="DX21" s="143">
        <f t="shared" si="49"/>
        <v>0</v>
      </c>
      <c r="DY21" s="143">
        <f t="shared" si="50"/>
        <v>0</v>
      </c>
      <c r="DZ21" s="143">
        <f t="shared" si="51"/>
        <v>0</v>
      </c>
      <c r="EA21" s="143">
        <f t="shared" ref="EA21:EL21" si="144">AR21*CK$2/($H21/50)^2</f>
        <v>0</v>
      </c>
      <c r="EB21" s="143">
        <f t="shared" si="144"/>
        <v>0</v>
      </c>
      <c r="EC21" s="143">
        <f t="shared" si="144"/>
        <v>0</v>
      </c>
      <c r="ED21" s="143">
        <f t="shared" si="144"/>
        <v>0</v>
      </c>
      <c r="EE21" s="143">
        <f t="shared" si="144"/>
        <v>0</v>
      </c>
      <c r="EF21" s="143">
        <f t="shared" si="144"/>
        <v>0</v>
      </c>
      <c r="EG21" s="143">
        <f t="shared" si="144"/>
        <v>0</v>
      </c>
      <c r="EH21" s="143">
        <f t="shared" si="144"/>
        <v>0</v>
      </c>
      <c r="EI21" s="143">
        <f t="shared" si="144"/>
        <v>0</v>
      </c>
      <c r="EJ21" s="143">
        <f t="shared" si="144"/>
        <v>0</v>
      </c>
      <c r="EK21" s="143">
        <f t="shared" si="144"/>
        <v>0</v>
      </c>
      <c r="EL21" s="143">
        <f t="shared" si="144"/>
        <v>0</v>
      </c>
    </row>
    <row r="22">
      <c r="A22" s="149" t="s">
        <v>78</v>
      </c>
      <c r="B22" s="132">
        <f t="shared" si="10"/>
        <v>0</v>
      </c>
      <c r="C22" s="144"/>
      <c r="D22" s="134">
        <f t="shared" si="11"/>
        <v>0</v>
      </c>
      <c r="E22" s="135">
        <f t="shared" si="12"/>
        <v>0</v>
      </c>
      <c r="F22" s="132">
        <f t="shared" si="13"/>
        <v>0</v>
      </c>
      <c r="G22" s="136">
        <f t="shared" si="14"/>
        <v>0</v>
      </c>
      <c r="H22" s="137">
        <v>100.0</v>
      </c>
      <c r="I22" s="137" t="str">
        <f t="shared" si="132"/>
        <v>Compound Base</v>
      </c>
      <c r="J22" s="139">
        <f t="shared" si="15"/>
        <v>0</v>
      </c>
      <c r="K22" s="140">
        <f t="shared" si="16"/>
        <v>67</v>
      </c>
      <c r="L22" s="139" t="s">
        <v>61</v>
      </c>
      <c r="M22" s="139" t="s">
        <v>61</v>
      </c>
      <c r="N22" s="139">
        <v>1.0</v>
      </c>
      <c r="O22" s="139">
        <v>2.0</v>
      </c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2"/>
      <c r="BE22" s="143">
        <f t="shared" si="17"/>
        <v>0</v>
      </c>
      <c r="BF22" s="143">
        <f t="shared" si="18"/>
        <v>0</v>
      </c>
      <c r="BG22" s="143">
        <f t="shared" ref="BG22:BT22" si="145">$G22*N22*IF($H22&gt;50,18,36)+$F22*N22*IF($H22&gt;50,4,8)+$E22*N22</f>
        <v>0</v>
      </c>
      <c r="BH22" s="143">
        <f t="shared" si="145"/>
        <v>0</v>
      </c>
      <c r="BI22" s="143">
        <f t="shared" si="145"/>
        <v>0</v>
      </c>
      <c r="BJ22" s="143">
        <f t="shared" si="145"/>
        <v>0</v>
      </c>
      <c r="BK22" s="143">
        <f t="shared" si="145"/>
        <v>0</v>
      </c>
      <c r="BL22" s="143">
        <f t="shared" si="145"/>
        <v>0</v>
      </c>
      <c r="BM22" s="143">
        <f t="shared" si="145"/>
        <v>0</v>
      </c>
      <c r="BN22" s="143">
        <f t="shared" si="145"/>
        <v>0</v>
      </c>
      <c r="BO22" s="143">
        <f t="shared" si="145"/>
        <v>0</v>
      </c>
      <c r="BP22" s="143">
        <f t="shared" si="145"/>
        <v>0</v>
      </c>
      <c r="BQ22" s="143">
        <f t="shared" si="145"/>
        <v>0</v>
      </c>
      <c r="BR22" s="143">
        <f t="shared" si="145"/>
        <v>0</v>
      </c>
      <c r="BS22" s="143">
        <f t="shared" si="145"/>
        <v>0</v>
      </c>
      <c r="BT22" s="143">
        <f t="shared" si="145"/>
        <v>0</v>
      </c>
      <c r="BU22" s="143">
        <f t="shared" si="20"/>
        <v>0</v>
      </c>
      <c r="BV22" s="143">
        <f t="shared" si="21"/>
        <v>0</v>
      </c>
      <c r="BW22" s="143">
        <f t="shared" ref="BW22:BX22" si="146">$G22*AD22*IF($H22&gt;50,18,36)+$F22*AD22*IF($H22&gt;50,4,8)+$E22*AD22</f>
        <v>0</v>
      </c>
      <c r="BX22" s="143">
        <f t="shared" si="146"/>
        <v>0</v>
      </c>
      <c r="BY22" s="143">
        <f t="shared" si="23"/>
        <v>0</v>
      </c>
      <c r="BZ22" s="143">
        <f t="shared" si="24"/>
        <v>0</v>
      </c>
      <c r="CA22" s="143">
        <f t="shared" si="25"/>
        <v>0</v>
      </c>
      <c r="CB22" s="143">
        <f t="shared" si="26"/>
        <v>0</v>
      </c>
      <c r="CC22" s="143">
        <f t="shared" si="27"/>
        <v>0</v>
      </c>
      <c r="CD22" s="143">
        <f t="shared" si="28"/>
        <v>0</v>
      </c>
      <c r="CE22" s="143">
        <f t="shared" si="29"/>
        <v>0</v>
      </c>
      <c r="CF22" s="143">
        <f t="shared" si="30"/>
        <v>0</v>
      </c>
      <c r="CG22" s="143">
        <f t="shared" si="31"/>
        <v>0</v>
      </c>
      <c r="CH22" s="143">
        <f t="shared" si="32"/>
        <v>0</v>
      </c>
      <c r="CI22" s="143">
        <f t="shared" si="33"/>
        <v>0</v>
      </c>
      <c r="CJ22" s="143">
        <f t="shared" si="34"/>
        <v>0</v>
      </c>
      <c r="CK22" s="143">
        <f t="shared" ref="CK22:CV22" si="147">$G22*AR22*IF($H22&gt;50,18,36)+$F22*AR22*IF($H22&gt;50,4,8)+$E22*AR22</f>
        <v>0</v>
      </c>
      <c r="CL22" s="143">
        <f t="shared" si="147"/>
        <v>0</v>
      </c>
      <c r="CM22" s="143">
        <f t="shared" si="147"/>
        <v>0</v>
      </c>
      <c r="CN22" s="143">
        <f t="shared" si="147"/>
        <v>0</v>
      </c>
      <c r="CO22" s="143">
        <f t="shared" si="147"/>
        <v>0</v>
      </c>
      <c r="CP22" s="143">
        <f t="shared" si="147"/>
        <v>0</v>
      </c>
      <c r="CQ22" s="143">
        <f t="shared" si="147"/>
        <v>0</v>
      </c>
      <c r="CR22" s="143">
        <f t="shared" si="147"/>
        <v>0</v>
      </c>
      <c r="CS22" s="143">
        <f t="shared" si="147"/>
        <v>0</v>
      </c>
      <c r="CT22" s="143">
        <f t="shared" si="147"/>
        <v>0</v>
      </c>
      <c r="CU22" s="143">
        <f t="shared" si="147"/>
        <v>0</v>
      </c>
      <c r="CV22" s="143">
        <f t="shared" si="147"/>
        <v>0</v>
      </c>
      <c r="CW22" s="143"/>
      <c r="CX22" s="143">
        <f t="shared" ref="CX22:DJ22" si="148">O22*BH$2/($H22/50)^2</f>
        <v>2</v>
      </c>
      <c r="CY22" s="143">
        <f t="shared" si="148"/>
        <v>0</v>
      </c>
      <c r="CZ22" s="143">
        <f t="shared" si="148"/>
        <v>0</v>
      </c>
      <c r="DA22" s="143">
        <f t="shared" si="148"/>
        <v>0</v>
      </c>
      <c r="DB22" s="143">
        <f t="shared" si="148"/>
        <v>0</v>
      </c>
      <c r="DC22" s="143">
        <f t="shared" si="148"/>
        <v>0</v>
      </c>
      <c r="DD22" s="143">
        <f t="shared" si="148"/>
        <v>0</v>
      </c>
      <c r="DE22" s="143">
        <f t="shared" si="148"/>
        <v>0</v>
      </c>
      <c r="DF22" s="143">
        <f t="shared" si="148"/>
        <v>0</v>
      </c>
      <c r="DG22" s="143">
        <f t="shared" si="148"/>
        <v>0</v>
      </c>
      <c r="DH22" s="143">
        <f t="shared" si="148"/>
        <v>0</v>
      </c>
      <c r="DI22" s="143">
        <f t="shared" si="148"/>
        <v>0</v>
      </c>
      <c r="DJ22" s="143">
        <f t="shared" si="148"/>
        <v>0</v>
      </c>
      <c r="DK22" s="143">
        <f t="shared" si="37"/>
        <v>0</v>
      </c>
      <c r="DL22" s="143">
        <f t="shared" si="38"/>
        <v>0</v>
      </c>
      <c r="DM22" s="143">
        <f t="shared" ref="DM22:DN22" si="149">AD22*BW$2/($H22/50)^2</f>
        <v>0</v>
      </c>
      <c r="DN22" s="143">
        <f t="shared" si="149"/>
        <v>0</v>
      </c>
      <c r="DO22" s="143">
        <f t="shared" si="40"/>
        <v>0</v>
      </c>
      <c r="DP22" s="143">
        <f t="shared" si="41"/>
        <v>0</v>
      </c>
      <c r="DQ22" s="143">
        <f t="shared" si="42"/>
        <v>0</v>
      </c>
      <c r="DR22" s="143">
        <f t="shared" si="43"/>
        <v>0</v>
      </c>
      <c r="DS22" s="143">
        <f t="shared" si="44"/>
        <v>0</v>
      </c>
      <c r="DT22" s="143">
        <f t="shared" si="45"/>
        <v>0</v>
      </c>
      <c r="DU22" s="143">
        <f t="shared" si="46"/>
        <v>0</v>
      </c>
      <c r="DV22" s="143">
        <f t="shared" si="47"/>
        <v>0</v>
      </c>
      <c r="DW22" s="143">
        <f t="shared" si="48"/>
        <v>0</v>
      </c>
      <c r="DX22" s="143">
        <f t="shared" si="49"/>
        <v>0</v>
      </c>
      <c r="DY22" s="143">
        <f t="shared" si="50"/>
        <v>0</v>
      </c>
      <c r="DZ22" s="143">
        <f t="shared" si="51"/>
        <v>0</v>
      </c>
      <c r="EA22" s="143">
        <f t="shared" ref="EA22:EL22" si="150">AR22*CK$2/($H22/50)^2</f>
        <v>0</v>
      </c>
      <c r="EB22" s="143">
        <f t="shared" si="150"/>
        <v>0</v>
      </c>
      <c r="EC22" s="143">
        <f t="shared" si="150"/>
        <v>0</v>
      </c>
      <c r="ED22" s="143">
        <f t="shared" si="150"/>
        <v>0</v>
      </c>
      <c r="EE22" s="143">
        <f t="shared" si="150"/>
        <v>0</v>
      </c>
      <c r="EF22" s="143">
        <f t="shared" si="150"/>
        <v>0</v>
      </c>
      <c r="EG22" s="143">
        <f t="shared" si="150"/>
        <v>0</v>
      </c>
      <c r="EH22" s="143">
        <f t="shared" si="150"/>
        <v>0</v>
      </c>
      <c r="EI22" s="143">
        <f t="shared" si="150"/>
        <v>0</v>
      </c>
      <c r="EJ22" s="143">
        <f t="shared" si="150"/>
        <v>0</v>
      </c>
      <c r="EK22" s="143">
        <f t="shared" si="150"/>
        <v>0</v>
      </c>
      <c r="EL22" s="143">
        <f t="shared" si="150"/>
        <v>0</v>
      </c>
    </row>
    <row r="23">
      <c r="A23" s="149" t="s">
        <v>79</v>
      </c>
      <c r="B23" s="132">
        <f t="shared" si="10"/>
        <v>0</v>
      </c>
      <c r="C23" s="144"/>
      <c r="D23" s="134">
        <f t="shared" si="11"/>
        <v>0</v>
      </c>
      <c r="E23" s="135">
        <f t="shared" si="12"/>
        <v>0</v>
      </c>
      <c r="F23" s="132">
        <f t="shared" si="13"/>
        <v>0</v>
      </c>
      <c r="G23" s="136">
        <f t="shared" si="14"/>
        <v>0</v>
      </c>
      <c r="H23" s="137">
        <v>100.0</v>
      </c>
      <c r="I23" s="137" t="str">
        <f t="shared" si="132"/>
        <v>Compound Base</v>
      </c>
      <c r="J23" s="139">
        <f t="shared" si="15"/>
        <v>0</v>
      </c>
      <c r="K23" s="140">
        <f t="shared" si="16"/>
        <v>77</v>
      </c>
      <c r="L23" s="139">
        <v>200.0</v>
      </c>
      <c r="M23" s="139">
        <v>500.0</v>
      </c>
      <c r="N23" s="139">
        <v>2.0</v>
      </c>
      <c r="O23" s="139">
        <v>2.0</v>
      </c>
      <c r="P23" s="139"/>
      <c r="Q23" s="139">
        <v>1.0</v>
      </c>
      <c r="R23" s="141"/>
      <c r="S23" s="141"/>
      <c r="T23" s="141"/>
      <c r="U23" s="141"/>
      <c r="V23" s="139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39">
        <v>1.0</v>
      </c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2"/>
      <c r="BE23" s="143">
        <f t="shared" si="17"/>
        <v>0</v>
      </c>
      <c r="BF23" s="143">
        <f t="shared" si="18"/>
        <v>0</v>
      </c>
      <c r="BG23" s="143">
        <f t="shared" ref="BG23:BT23" si="151">$G23*N23*IF($H23&gt;50,18,36)+$F23*N23*IF($H23&gt;50,4,8)+$E23*N23</f>
        <v>0</v>
      </c>
      <c r="BH23" s="143">
        <f t="shared" si="151"/>
        <v>0</v>
      </c>
      <c r="BI23" s="143">
        <f t="shared" si="151"/>
        <v>0</v>
      </c>
      <c r="BJ23" s="143">
        <f t="shared" si="151"/>
        <v>0</v>
      </c>
      <c r="BK23" s="143">
        <f t="shared" si="151"/>
        <v>0</v>
      </c>
      <c r="BL23" s="143">
        <f t="shared" si="151"/>
        <v>0</v>
      </c>
      <c r="BM23" s="143">
        <f t="shared" si="151"/>
        <v>0</v>
      </c>
      <c r="BN23" s="143">
        <f t="shared" si="151"/>
        <v>0</v>
      </c>
      <c r="BO23" s="143">
        <f t="shared" si="151"/>
        <v>0</v>
      </c>
      <c r="BP23" s="143">
        <f t="shared" si="151"/>
        <v>0</v>
      </c>
      <c r="BQ23" s="143">
        <f t="shared" si="151"/>
        <v>0</v>
      </c>
      <c r="BR23" s="143">
        <f t="shared" si="151"/>
        <v>0</v>
      </c>
      <c r="BS23" s="143">
        <f t="shared" si="151"/>
        <v>0</v>
      </c>
      <c r="BT23" s="143">
        <f t="shared" si="151"/>
        <v>0</v>
      </c>
      <c r="BU23" s="143">
        <f t="shared" si="20"/>
        <v>0</v>
      </c>
      <c r="BV23" s="143">
        <f t="shared" si="21"/>
        <v>0</v>
      </c>
      <c r="BW23" s="143">
        <f t="shared" ref="BW23:BX23" si="152">$G23*AD23*IF($H23&gt;50,18,36)+$F23*AD23*IF($H23&gt;50,4,8)+$E23*AD23</f>
        <v>0</v>
      </c>
      <c r="BX23" s="143">
        <f t="shared" si="152"/>
        <v>0</v>
      </c>
      <c r="BY23" s="143">
        <f t="shared" si="23"/>
        <v>0</v>
      </c>
      <c r="BZ23" s="143">
        <f t="shared" si="24"/>
        <v>0</v>
      </c>
      <c r="CA23" s="143">
        <f t="shared" si="25"/>
        <v>0</v>
      </c>
      <c r="CB23" s="143">
        <f t="shared" si="26"/>
        <v>0</v>
      </c>
      <c r="CC23" s="143">
        <f t="shared" si="27"/>
        <v>0</v>
      </c>
      <c r="CD23" s="143">
        <f t="shared" si="28"/>
        <v>0</v>
      </c>
      <c r="CE23" s="143">
        <f t="shared" si="29"/>
        <v>0</v>
      </c>
      <c r="CF23" s="143">
        <f t="shared" si="30"/>
        <v>0</v>
      </c>
      <c r="CG23" s="143">
        <f t="shared" si="31"/>
        <v>0</v>
      </c>
      <c r="CH23" s="143">
        <f t="shared" si="32"/>
        <v>0</v>
      </c>
      <c r="CI23" s="143">
        <f t="shared" si="33"/>
        <v>0</v>
      </c>
      <c r="CJ23" s="143">
        <f t="shared" si="34"/>
        <v>0</v>
      </c>
      <c r="CK23" s="143">
        <f t="shared" ref="CK23:CV23" si="153">$G23*AR23*IF($H23&gt;50,18,36)+$F23*AR23*IF($H23&gt;50,4,8)+$E23*AR23</f>
        <v>0</v>
      </c>
      <c r="CL23" s="143">
        <f t="shared" si="153"/>
        <v>0</v>
      </c>
      <c r="CM23" s="143">
        <f t="shared" si="153"/>
        <v>0</v>
      </c>
      <c r="CN23" s="143">
        <f t="shared" si="153"/>
        <v>0</v>
      </c>
      <c r="CO23" s="143">
        <f t="shared" si="153"/>
        <v>0</v>
      </c>
      <c r="CP23" s="143">
        <f t="shared" si="153"/>
        <v>0</v>
      </c>
      <c r="CQ23" s="143">
        <f t="shared" si="153"/>
        <v>0</v>
      </c>
      <c r="CR23" s="143">
        <f t="shared" si="153"/>
        <v>0</v>
      </c>
      <c r="CS23" s="143">
        <f t="shared" si="153"/>
        <v>0</v>
      </c>
      <c r="CT23" s="143">
        <f t="shared" si="153"/>
        <v>0</v>
      </c>
      <c r="CU23" s="143">
        <f t="shared" si="153"/>
        <v>0</v>
      </c>
      <c r="CV23" s="143">
        <f t="shared" si="153"/>
        <v>0</v>
      </c>
      <c r="CW23" s="143"/>
      <c r="CX23" s="143">
        <f t="shared" ref="CX23:DJ23" si="154">O23*BH$2/($H23/50)^2</f>
        <v>2</v>
      </c>
      <c r="CY23" s="143">
        <f t="shared" si="154"/>
        <v>0</v>
      </c>
      <c r="CZ23" s="143">
        <f t="shared" si="154"/>
        <v>2.5</v>
      </c>
      <c r="DA23" s="143">
        <f t="shared" si="154"/>
        <v>0</v>
      </c>
      <c r="DB23" s="143">
        <f t="shared" si="154"/>
        <v>0</v>
      </c>
      <c r="DC23" s="143">
        <f t="shared" si="154"/>
        <v>0</v>
      </c>
      <c r="DD23" s="143">
        <f t="shared" si="154"/>
        <v>0</v>
      </c>
      <c r="DE23" s="143">
        <f t="shared" si="154"/>
        <v>0</v>
      </c>
      <c r="DF23" s="143">
        <f t="shared" si="154"/>
        <v>0</v>
      </c>
      <c r="DG23" s="143">
        <f t="shared" si="154"/>
        <v>0</v>
      </c>
      <c r="DH23" s="143">
        <f t="shared" si="154"/>
        <v>0</v>
      </c>
      <c r="DI23" s="143">
        <f t="shared" si="154"/>
        <v>0</v>
      </c>
      <c r="DJ23" s="143">
        <f t="shared" si="154"/>
        <v>0</v>
      </c>
      <c r="DK23" s="143">
        <f t="shared" si="37"/>
        <v>0</v>
      </c>
      <c r="DL23" s="143">
        <f t="shared" si="38"/>
        <v>0</v>
      </c>
      <c r="DM23" s="143">
        <f t="shared" ref="DM23:DN23" si="155">AD23*BW$2/($H23/50)^2</f>
        <v>0</v>
      </c>
      <c r="DN23" s="143">
        <f t="shared" si="155"/>
        <v>0</v>
      </c>
      <c r="DO23" s="143">
        <f t="shared" si="40"/>
        <v>7.5</v>
      </c>
      <c r="DP23" s="143">
        <f t="shared" si="41"/>
        <v>0</v>
      </c>
      <c r="DQ23" s="143">
        <f t="shared" si="42"/>
        <v>0</v>
      </c>
      <c r="DR23" s="143">
        <f t="shared" si="43"/>
        <v>0</v>
      </c>
      <c r="DS23" s="143">
        <f t="shared" si="44"/>
        <v>0</v>
      </c>
      <c r="DT23" s="143">
        <f t="shared" si="45"/>
        <v>0</v>
      </c>
      <c r="DU23" s="143">
        <f t="shared" si="46"/>
        <v>0</v>
      </c>
      <c r="DV23" s="143">
        <f t="shared" si="47"/>
        <v>0</v>
      </c>
      <c r="DW23" s="143">
        <f t="shared" si="48"/>
        <v>0</v>
      </c>
      <c r="DX23" s="143">
        <f t="shared" si="49"/>
        <v>0</v>
      </c>
      <c r="DY23" s="143">
        <f t="shared" si="50"/>
        <v>0</v>
      </c>
      <c r="DZ23" s="143">
        <f t="shared" si="51"/>
        <v>0</v>
      </c>
      <c r="EA23" s="143">
        <f t="shared" ref="EA23:EL23" si="156">AR23*CK$2/($H23/50)^2</f>
        <v>0</v>
      </c>
      <c r="EB23" s="143">
        <f t="shared" si="156"/>
        <v>0</v>
      </c>
      <c r="EC23" s="143">
        <f t="shared" si="156"/>
        <v>0</v>
      </c>
      <c r="ED23" s="143">
        <f t="shared" si="156"/>
        <v>0</v>
      </c>
      <c r="EE23" s="143">
        <f t="shared" si="156"/>
        <v>0</v>
      </c>
      <c r="EF23" s="143">
        <f t="shared" si="156"/>
        <v>0</v>
      </c>
      <c r="EG23" s="143">
        <f t="shared" si="156"/>
        <v>0</v>
      </c>
      <c r="EH23" s="143">
        <f t="shared" si="156"/>
        <v>0</v>
      </c>
      <c r="EI23" s="143">
        <f t="shared" si="156"/>
        <v>0</v>
      </c>
      <c r="EJ23" s="143">
        <f t="shared" si="156"/>
        <v>0</v>
      </c>
      <c r="EK23" s="143">
        <f t="shared" si="156"/>
        <v>0</v>
      </c>
      <c r="EL23" s="143">
        <f t="shared" si="156"/>
        <v>0</v>
      </c>
    </row>
    <row r="24">
      <c r="A24" s="149" t="s">
        <v>80</v>
      </c>
      <c r="B24" s="132">
        <f t="shared" si="10"/>
        <v>0</v>
      </c>
      <c r="C24" s="144"/>
      <c r="D24" s="134">
        <f t="shared" si="11"/>
        <v>0</v>
      </c>
      <c r="E24" s="135">
        <f t="shared" si="12"/>
        <v>0</v>
      </c>
      <c r="F24" s="132">
        <f t="shared" si="13"/>
        <v>0</v>
      </c>
      <c r="G24" s="136">
        <f t="shared" si="14"/>
        <v>0</v>
      </c>
      <c r="H24" s="137">
        <v>100.0</v>
      </c>
      <c r="I24" s="137" t="str">
        <f t="shared" si="132"/>
        <v>Compound Base</v>
      </c>
      <c r="J24" s="139">
        <f t="shared" si="15"/>
        <v>0</v>
      </c>
      <c r="K24" s="140">
        <f t="shared" si="16"/>
        <v>97</v>
      </c>
      <c r="L24" s="139">
        <v>400.0</v>
      </c>
      <c r="M24" s="139">
        <v>2000.0</v>
      </c>
      <c r="N24" s="139">
        <v>4.0</v>
      </c>
      <c r="O24" s="139">
        <v>4.0</v>
      </c>
      <c r="P24" s="141"/>
      <c r="Q24" s="141"/>
      <c r="R24" s="141"/>
      <c r="S24" s="139">
        <v>1.0</v>
      </c>
      <c r="T24" s="141"/>
      <c r="U24" s="141"/>
      <c r="V24" s="139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39">
        <v>2.0</v>
      </c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2"/>
      <c r="BE24" s="143">
        <f t="shared" si="17"/>
        <v>0</v>
      </c>
      <c r="BF24" s="143">
        <f t="shared" si="18"/>
        <v>0</v>
      </c>
      <c r="BG24" s="143">
        <f t="shared" ref="BG24:BT24" si="157">$G24*N24*IF($H24&gt;50,18,36)+$F24*N24*IF($H24&gt;50,4,8)+$E24*N24</f>
        <v>0</v>
      </c>
      <c r="BH24" s="143">
        <f t="shared" si="157"/>
        <v>0</v>
      </c>
      <c r="BI24" s="143">
        <f t="shared" si="157"/>
        <v>0</v>
      </c>
      <c r="BJ24" s="143">
        <f t="shared" si="157"/>
        <v>0</v>
      </c>
      <c r="BK24" s="143">
        <f t="shared" si="157"/>
        <v>0</v>
      </c>
      <c r="BL24" s="143">
        <f t="shared" si="157"/>
        <v>0</v>
      </c>
      <c r="BM24" s="143">
        <f t="shared" si="157"/>
        <v>0</v>
      </c>
      <c r="BN24" s="143">
        <f t="shared" si="157"/>
        <v>0</v>
      </c>
      <c r="BO24" s="143">
        <f t="shared" si="157"/>
        <v>0</v>
      </c>
      <c r="BP24" s="143">
        <f t="shared" si="157"/>
        <v>0</v>
      </c>
      <c r="BQ24" s="143">
        <f t="shared" si="157"/>
        <v>0</v>
      </c>
      <c r="BR24" s="143">
        <f t="shared" si="157"/>
        <v>0</v>
      </c>
      <c r="BS24" s="143">
        <f t="shared" si="157"/>
        <v>0</v>
      </c>
      <c r="BT24" s="143">
        <f t="shared" si="157"/>
        <v>0</v>
      </c>
      <c r="BU24" s="143">
        <f t="shared" si="20"/>
        <v>0</v>
      </c>
      <c r="BV24" s="143">
        <f t="shared" si="21"/>
        <v>0</v>
      </c>
      <c r="BW24" s="143">
        <f t="shared" ref="BW24:BX24" si="158">$G24*AD24*IF($H24&gt;50,18,36)+$F24*AD24*IF($H24&gt;50,4,8)+$E24*AD24</f>
        <v>0</v>
      </c>
      <c r="BX24" s="143">
        <f t="shared" si="158"/>
        <v>0</v>
      </c>
      <c r="BY24" s="143">
        <f t="shared" si="23"/>
        <v>0</v>
      </c>
      <c r="BZ24" s="143">
        <f t="shared" si="24"/>
        <v>0</v>
      </c>
      <c r="CA24" s="143">
        <f t="shared" si="25"/>
        <v>0</v>
      </c>
      <c r="CB24" s="143">
        <f t="shared" si="26"/>
        <v>0</v>
      </c>
      <c r="CC24" s="143">
        <f t="shared" si="27"/>
        <v>0</v>
      </c>
      <c r="CD24" s="143">
        <f t="shared" si="28"/>
        <v>0</v>
      </c>
      <c r="CE24" s="143">
        <f t="shared" si="29"/>
        <v>0</v>
      </c>
      <c r="CF24" s="143">
        <f t="shared" si="30"/>
        <v>0</v>
      </c>
      <c r="CG24" s="143">
        <f t="shared" si="31"/>
        <v>0</v>
      </c>
      <c r="CH24" s="143">
        <f t="shared" si="32"/>
        <v>0</v>
      </c>
      <c r="CI24" s="143">
        <f t="shared" si="33"/>
        <v>0</v>
      </c>
      <c r="CJ24" s="143">
        <f t="shared" si="34"/>
        <v>0</v>
      </c>
      <c r="CK24" s="143">
        <f t="shared" ref="CK24:CV24" si="159">$G24*AR24*IF($H24&gt;50,18,36)+$F24*AR24*IF($H24&gt;50,4,8)+$E24*AR24</f>
        <v>0</v>
      </c>
      <c r="CL24" s="143">
        <f t="shared" si="159"/>
        <v>0</v>
      </c>
      <c r="CM24" s="143">
        <f t="shared" si="159"/>
        <v>0</v>
      </c>
      <c r="CN24" s="143">
        <f t="shared" si="159"/>
        <v>0</v>
      </c>
      <c r="CO24" s="143">
        <f t="shared" si="159"/>
        <v>0</v>
      </c>
      <c r="CP24" s="143">
        <f t="shared" si="159"/>
        <v>0</v>
      </c>
      <c r="CQ24" s="143">
        <f t="shared" si="159"/>
        <v>0</v>
      </c>
      <c r="CR24" s="143">
        <f t="shared" si="159"/>
        <v>0</v>
      </c>
      <c r="CS24" s="143">
        <f t="shared" si="159"/>
        <v>0</v>
      </c>
      <c r="CT24" s="143">
        <f t="shared" si="159"/>
        <v>0</v>
      </c>
      <c r="CU24" s="143">
        <f t="shared" si="159"/>
        <v>0</v>
      </c>
      <c r="CV24" s="143">
        <f t="shared" si="159"/>
        <v>0</v>
      </c>
      <c r="CW24" s="143"/>
      <c r="CX24" s="143">
        <f t="shared" ref="CX24:DJ24" si="160">O24*BH$2/($H24/50)^2</f>
        <v>4</v>
      </c>
      <c r="CY24" s="143">
        <f t="shared" si="160"/>
        <v>0</v>
      </c>
      <c r="CZ24" s="143">
        <f t="shared" si="160"/>
        <v>0</v>
      </c>
      <c r="DA24" s="143">
        <f t="shared" si="160"/>
        <v>0</v>
      </c>
      <c r="DB24" s="143">
        <f t="shared" si="160"/>
        <v>12.5</v>
      </c>
      <c r="DC24" s="143">
        <f t="shared" si="160"/>
        <v>0</v>
      </c>
      <c r="DD24" s="143">
        <f t="shared" si="160"/>
        <v>0</v>
      </c>
      <c r="DE24" s="143">
        <f t="shared" si="160"/>
        <v>0</v>
      </c>
      <c r="DF24" s="143">
        <f t="shared" si="160"/>
        <v>0</v>
      </c>
      <c r="DG24" s="143">
        <f t="shared" si="160"/>
        <v>0</v>
      </c>
      <c r="DH24" s="143">
        <f t="shared" si="160"/>
        <v>0</v>
      </c>
      <c r="DI24" s="143">
        <f t="shared" si="160"/>
        <v>0</v>
      </c>
      <c r="DJ24" s="143">
        <f t="shared" si="160"/>
        <v>0</v>
      </c>
      <c r="DK24" s="143">
        <f t="shared" si="37"/>
        <v>0</v>
      </c>
      <c r="DL24" s="143">
        <f t="shared" si="38"/>
        <v>0</v>
      </c>
      <c r="DM24" s="143">
        <f t="shared" ref="DM24:DN24" si="161">AD24*BW$2/($H24/50)^2</f>
        <v>0</v>
      </c>
      <c r="DN24" s="143">
        <f t="shared" si="161"/>
        <v>0</v>
      </c>
      <c r="DO24" s="143">
        <f t="shared" si="40"/>
        <v>15</v>
      </c>
      <c r="DP24" s="143">
        <f t="shared" si="41"/>
        <v>0</v>
      </c>
      <c r="DQ24" s="143">
        <f t="shared" si="42"/>
        <v>0</v>
      </c>
      <c r="DR24" s="143">
        <f t="shared" si="43"/>
        <v>0</v>
      </c>
      <c r="DS24" s="143">
        <f t="shared" si="44"/>
        <v>0</v>
      </c>
      <c r="DT24" s="143">
        <f t="shared" si="45"/>
        <v>0</v>
      </c>
      <c r="DU24" s="143">
        <f t="shared" si="46"/>
        <v>0</v>
      </c>
      <c r="DV24" s="143">
        <f t="shared" si="47"/>
        <v>0</v>
      </c>
      <c r="DW24" s="143">
        <f t="shared" si="48"/>
        <v>0</v>
      </c>
      <c r="DX24" s="143">
        <f t="shared" si="49"/>
        <v>0</v>
      </c>
      <c r="DY24" s="143">
        <f t="shared" si="50"/>
        <v>0</v>
      </c>
      <c r="DZ24" s="143">
        <f t="shared" si="51"/>
        <v>0</v>
      </c>
      <c r="EA24" s="143">
        <f t="shared" ref="EA24:EL24" si="162">AR24*CK$2/($H24/50)^2</f>
        <v>0</v>
      </c>
      <c r="EB24" s="143">
        <f t="shared" si="162"/>
        <v>0</v>
      </c>
      <c r="EC24" s="143">
        <f t="shared" si="162"/>
        <v>0</v>
      </c>
      <c r="ED24" s="143">
        <f t="shared" si="162"/>
        <v>0</v>
      </c>
      <c r="EE24" s="143">
        <f t="shared" si="162"/>
        <v>0</v>
      </c>
      <c r="EF24" s="143">
        <f t="shared" si="162"/>
        <v>0</v>
      </c>
      <c r="EG24" s="143">
        <f t="shared" si="162"/>
        <v>0</v>
      </c>
      <c r="EH24" s="143">
        <f t="shared" si="162"/>
        <v>0</v>
      </c>
      <c r="EI24" s="143">
        <f t="shared" si="162"/>
        <v>0</v>
      </c>
      <c r="EJ24" s="143">
        <f t="shared" si="162"/>
        <v>0</v>
      </c>
      <c r="EK24" s="143">
        <f t="shared" si="162"/>
        <v>0</v>
      </c>
      <c r="EL24" s="143">
        <f t="shared" si="162"/>
        <v>0</v>
      </c>
    </row>
    <row r="25">
      <c r="A25" s="149" t="s">
        <v>81</v>
      </c>
      <c r="B25" s="132">
        <f t="shared" si="10"/>
        <v>0</v>
      </c>
      <c r="C25" s="144"/>
      <c r="D25" s="134">
        <f t="shared" si="11"/>
        <v>0</v>
      </c>
      <c r="E25" s="135">
        <f t="shared" si="12"/>
        <v>0</v>
      </c>
      <c r="F25" s="132">
        <f t="shared" si="13"/>
        <v>0</v>
      </c>
      <c r="G25" s="136">
        <f t="shared" si="14"/>
        <v>0</v>
      </c>
      <c r="H25" s="137">
        <v>100.0</v>
      </c>
      <c r="I25" s="137" t="str">
        <f t="shared" si="132"/>
        <v>Compound Base</v>
      </c>
      <c r="J25" s="139">
        <f t="shared" si="15"/>
        <v>0</v>
      </c>
      <c r="K25" s="140">
        <f t="shared" si="16"/>
        <v>67</v>
      </c>
      <c r="L25" s="139" t="s">
        <v>61</v>
      </c>
      <c r="M25" s="139" t="s">
        <v>61</v>
      </c>
      <c r="N25" s="139">
        <v>1.0</v>
      </c>
      <c r="O25" s="139">
        <v>2.0</v>
      </c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2"/>
      <c r="BE25" s="143">
        <f t="shared" si="17"/>
        <v>0</v>
      </c>
      <c r="BF25" s="143">
        <f t="shared" si="18"/>
        <v>0</v>
      </c>
      <c r="BG25" s="143">
        <f t="shared" ref="BG25:BT25" si="163">$G25*N25*IF($H25&gt;50,18,36)+$F25*N25*IF($H25&gt;50,4,8)+$E25*N25</f>
        <v>0</v>
      </c>
      <c r="BH25" s="143">
        <f t="shared" si="163"/>
        <v>0</v>
      </c>
      <c r="BI25" s="143">
        <f t="shared" si="163"/>
        <v>0</v>
      </c>
      <c r="BJ25" s="143">
        <f t="shared" si="163"/>
        <v>0</v>
      </c>
      <c r="BK25" s="143">
        <f t="shared" si="163"/>
        <v>0</v>
      </c>
      <c r="BL25" s="143">
        <f t="shared" si="163"/>
        <v>0</v>
      </c>
      <c r="BM25" s="143">
        <f t="shared" si="163"/>
        <v>0</v>
      </c>
      <c r="BN25" s="143">
        <f t="shared" si="163"/>
        <v>0</v>
      </c>
      <c r="BO25" s="143">
        <f t="shared" si="163"/>
        <v>0</v>
      </c>
      <c r="BP25" s="143">
        <f t="shared" si="163"/>
        <v>0</v>
      </c>
      <c r="BQ25" s="143">
        <f t="shared" si="163"/>
        <v>0</v>
      </c>
      <c r="BR25" s="143">
        <f t="shared" si="163"/>
        <v>0</v>
      </c>
      <c r="BS25" s="143">
        <f t="shared" si="163"/>
        <v>0</v>
      </c>
      <c r="BT25" s="143">
        <f t="shared" si="163"/>
        <v>0</v>
      </c>
      <c r="BU25" s="143">
        <f t="shared" si="20"/>
        <v>0</v>
      </c>
      <c r="BV25" s="143">
        <f t="shared" si="21"/>
        <v>0</v>
      </c>
      <c r="BW25" s="143">
        <f t="shared" ref="BW25:BX25" si="164">$G25*AD25*IF($H25&gt;50,18,36)+$F25*AD25*IF($H25&gt;50,4,8)+$E25*AD25</f>
        <v>0</v>
      </c>
      <c r="BX25" s="143">
        <f t="shared" si="164"/>
        <v>0</v>
      </c>
      <c r="BY25" s="143">
        <f t="shared" si="23"/>
        <v>0</v>
      </c>
      <c r="BZ25" s="143">
        <f t="shared" si="24"/>
        <v>0</v>
      </c>
      <c r="CA25" s="143">
        <f t="shared" si="25"/>
        <v>0</v>
      </c>
      <c r="CB25" s="143">
        <f t="shared" si="26"/>
        <v>0</v>
      </c>
      <c r="CC25" s="143">
        <f t="shared" si="27"/>
        <v>0</v>
      </c>
      <c r="CD25" s="143">
        <f t="shared" si="28"/>
        <v>0</v>
      </c>
      <c r="CE25" s="143">
        <f t="shared" si="29"/>
        <v>0</v>
      </c>
      <c r="CF25" s="143">
        <f t="shared" si="30"/>
        <v>0</v>
      </c>
      <c r="CG25" s="143">
        <f t="shared" si="31"/>
        <v>0</v>
      </c>
      <c r="CH25" s="143">
        <f t="shared" si="32"/>
        <v>0</v>
      </c>
      <c r="CI25" s="143">
        <f t="shared" si="33"/>
        <v>0</v>
      </c>
      <c r="CJ25" s="143">
        <f t="shared" si="34"/>
        <v>0</v>
      </c>
      <c r="CK25" s="143">
        <f t="shared" ref="CK25:CV25" si="165">$G25*AR25*IF($H25&gt;50,18,36)+$F25*AR25*IF($H25&gt;50,4,8)+$E25*AR25</f>
        <v>0</v>
      </c>
      <c r="CL25" s="143">
        <f t="shared" si="165"/>
        <v>0</v>
      </c>
      <c r="CM25" s="143">
        <f t="shared" si="165"/>
        <v>0</v>
      </c>
      <c r="CN25" s="143">
        <f t="shared" si="165"/>
        <v>0</v>
      </c>
      <c r="CO25" s="143">
        <f t="shared" si="165"/>
        <v>0</v>
      </c>
      <c r="CP25" s="143">
        <f t="shared" si="165"/>
        <v>0</v>
      </c>
      <c r="CQ25" s="143">
        <f t="shared" si="165"/>
        <v>0</v>
      </c>
      <c r="CR25" s="143">
        <f t="shared" si="165"/>
        <v>0</v>
      </c>
      <c r="CS25" s="143">
        <f t="shared" si="165"/>
        <v>0</v>
      </c>
      <c r="CT25" s="143">
        <f t="shared" si="165"/>
        <v>0</v>
      </c>
      <c r="CU25" s="143">
        <f t="shared" si="165"/>
        <v>0</v>
      </c>
      <c r="CV25" s="143">
        <f t="shared" si="165"/>
        <v>0</v>
      </c>
      <c r="CW25" s="143"/>
      <c r="CX25" s="143">
        <f t="shared" ref="CX25:DJ25" si="166">O25*BH$2/($H25/50)^2</f>
        <v>2</v>
      </c>
      <c r="CY25" s="143">
        <f t="shared" si="166"/>
        <v>0</v>
      </c>
      <c r="CZ25" s="143">
        <f t="shared" si="166"/>
        <v>0</v>
      </c>
      <c r="DA25" s="143">
        <f t="shared" si="166"/>
        <v>0</v>
      </c>
      <c r="DB25" s="143">
        <f t="shared" si="166"/>
        <v>0</v>
      </c>
      <c r="DC25" s="143">
        <f t="shared" si="166"/>
        <v>0</v>
      </c>
      <c r="DD25" s="143">
        <f t="shared" si="166"/>
        <v>0</v>
      </c>
      <c r="DE25" s="143">
        <f t="shared" si="166"/>
        <v>0</v>
      </c>
      <c r="DF25" s="143">
        <f t="shared" si="166"/>
        <v>0</v>
      </c>
      <c r="DG25" s="143">
        <f t="shared" si="166"/>
        <v>0</v>
      </c>
      <c r="DH25" s="143">
        <f t="shared" si="166"/>
        <v>0</v>
      </c>
      <c r="DI25" s="143">
        <f t="shared" si="166"/>
        <v>0</v>
      </c>
      <c r="DJ25" s="143">
        <f t="shared" si="166"/>
        <v>0</v>
      </c>
      <c r="DK25" s="143">
        <f t="shared" si="37"/>
        <v>0</v>
      </c>
      <c r="DL25" s="143">
        <f t="shared" si="38"/>
        <v>0</v>
      </c>
      <c r="DM25" s="143">
        <f t="shared" ref="DM25:DN25" si="167">AD25*BW$2/($H25/50)^2</f>
        <v>0</v>
      </c>
      <c r="DN25" s="143">
        <f t="shared" si="167"/>
        <v>0</v>
      </c>
      <c r="DO25" s="143">
        <f t="shared" si="40"/>
        <v>0</v>
      </c>
      <c r="DP25" s="143">
        <f t="shared" si="41"/>
        <v>0</v>
      </c>
      <c r="DQ25" s="143">
        <f t="shared" si="42"/>
        <v>0</v>
      </c>
      <c r="DR25" s="143">
        <f t="shared" si="43"/>
        <v>0</v>
      </c>
      <c r="DS25" s="143">
        <f t="shared" si="44"/>
        <v>0</v>
      </c>
      <c r="DT25" s="143">
        <f t="shared" si="45"/>
        <v>0</v>
      </c>
      <c r="DU25" s="143">
        <f t="shared" si="46"/>
        <v>0</v>
      </c>
      <c r="DV25" s="143">
        <f t="shared" si="47"/>
        <v>0</v>
      </c>
      <c r="DW25" s="143">
        <f t="shared" si="48"/>
        <v>0</v>
      </c>
      <c r="DX25" s="143">
        <f t="shared" si="49"/>
        <v>0</v>
      </c>
      <c r="DY25" s="143">
        <f t="shared" si="50"/>
        <v>0</v>
      </c>
      <c r="DZ25" s="143">
        <f t="shared" si="51"/>
        <v>0</v>
      </c>
      <c r="EA25" s="143">
        <f t="shared" ref="EA25:EL25" si="168">AR25*CK$2/($H25/50)^2</f>
        <v>0</v>
      </c>
      <c r="EB25" s="143">
        <f t="shared" si="168"/>
        <v>0</v>
      </c>
      <c r="EC25" s="143">
        <f t="shared" si="168"/>
        <v>0</v>
      </c>
      <c r="ED25" s="143">
        <f t="shared" si="168"/>
        <v>0</v>
      </c>
      <c r="EE25" s="143">
        <f t="shared" si="168"/>
        <v>0</v>
      </c>
      <c r="EF25" s="143">
        <f t="shared" si="168"/>
        <v>0</v>
      </c>
      <c r="EG25" s="143">
        <f t="shared" si="168"/>
        <v>0</v>
      </c>
      <c r="EH25" s="143">
        <f t="shared" si="168"/>
        <v>0</v>
      </c>
      <c r="EI25" s="143">
        <f t="shared" si="168"/>
        <v>0</v>
      </c>
      <c r="EJ25" s="143">
        <f t="shared" si="168"/>
        <v>0</v>
      </c>
      <c r="EK25" s="143">
        <f t="shared" si="168"/>
        <v>0</v>
      </c>
      <c r="EL25" s="143">
        <f t="shared" si="168"/>
        <v>0</v>
      </c>
    </row>
    <row r="26">
      <c r="A26" s="149" t="s">
        <v>82</v>
      </c>
      <c r="B26" s="132">
        <f t="shared" si="10"/>
        <v>0</v>
      </c>
      <c r="C26" s="144"/>
      <c r="D26" s="134">
        <f t="shared" si="11"/>
        <v>0</v>
      </c>
      <c r="E26" s="135">
        <f t="shared" si="12"/>
        <v>0</v>
      </c>
      <c r="F26" s="132">
        <f t="shared" si="13"/>
        <v>0</v>
      </c>
      <c r="G26" s="136">
        <f t="shared" si="14"/>
        <v>0</v>
      </c>
      <c r="H26" s="137">
        <v>100.0</v>
      </c>
      <c r="I26" s="137" t="str">
        <f t="shared" si="132"/>
        <v>Compound Base</v>
      </c>
      <c r="J26" s="139">
        <f t="shared" si="15"/>
        <v>0</v>
      </c>
      <c r="K26" s="140">
        <f t="shared" si="16"/>
        <v>77</v>
      </c>
      <c r="L26" s="139">
        <v>200.0</v>
      </c>
      <c r="M26" s="139">
        <v>500.0</v>
      </c>
      <c r="N26" s="139">
        <v>2.0</v>
      </c>
      <c r="O26" s="139">
        <v>2.0</v>
      </c>
      <c r="P26" s="139"/>
      <c r="Q26" s="139">
        <v>1.0</v>
      </c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39">
        <v>1.0</v>
      </c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2"/>
      <c r="BE26" s="143">
        <f t="shared" si="17"/>
        <v>0</v>
      </c>
      <c r="BF26" s="143">
        <f t="shared" si="18"/>
        <v>0</v>
      </c>
      <c r="BG26" s="143">
        <f t="shared" ref="BG26:BT26" si="169">$G26*N26*IF($H26&gt;50,18,36)+$F26*N26*IF($H26&gt;50,4,8)+$E26*N26</f>
        <v>0</v>
      </c>
      <c r="BH26" s="143">
        <f t="shared" si="169"/>
        <v>0</v>
      </c>
      <c r="BI26" s="143">
        <f t="shared" si="169"/>
        <v>0</v>
      </c>
      <c r="BJ26" s="143">
        <f t="shared" si="169"/>
        <v>0</v>
      </c>
      <c r="BK26" s="143">
        <f t="shared" si="169"/>
        <v>0</v>
      </c>
      <c r="BL26" s="143">
        <f t="shared" si="169"/>
        <v>0</v>
      </c>
      <c r="BM26" s="143">
        <f t="shared" si="169"/>
        <v>0</v>
      </c>
      <c r="BN26" s="143">
        <f t="shared" si="169"/>
        <v>0</v>
      </c>
      <c r="BO26" s="143">
        <f t="shared" si="169"/>
        <v>0</v>
      </c>
      <c r="BP26" s="143">
        <f t="shared" si="169"/>
        <v>0</v>
      </c>
      <c r="BQ26" s="143">
        <f t="shared" si="169"/>
        <v>0</v>
      </c>
      <c r="BR26" s="143">
        <f t="shared" si="169"/>
        <v>0</v>
      </c>
      <c r="BS26" s="143">
        <f t="shared" si="169"/>
        <v>0</v>
      </c>
      <c r="BT26" s="143">
        <f t="shared" si="169"/>
        <v>0</v>
      </c>
      <c r="BU26" s="143">
        <f t="shared" si="20"/>
        <v>0</v>
      </c>
      <c r="BV26" s="143">
        <f t="shared" si="21"/>
        <v>0</v>
      </c>
      <c r="BW26" s="143">
        <f t="shared" ref="BW26:BX26" si="170">$G26*AD26*IF($H26&gt;50,18,36)+$F26*AD26*IF($H26&gt;50,4,8)+$E26*AD26</f>
        <v>0</v>
      </c>
      <c r="BX26" s="143">
        <f t="shared" si="170"/>
        <v>0</v>
      </c>
      <c r="BY26" s="143">
        <f t="shared" si="23"/>
        <v>0</v>
      </c>
      <c r="BZ26" s="143">
        <f t="shared" si="24"/>
        <v>0</v>
      </c>
      <c r="CA26" s="143">
        <f t="shared" si="25"/>
        <v>0</v>
      </c>
      <c r="CB26" s="143">
        <f t="shared" si="26"/>
        <v>0</v>
      </c>
      <c r="CC26" s="143">
        <f t="shared" si="27"/>
        <v>0</v>
      </c>
      <c r="CD26" s="143">
        <f t="shared" si="28"/>
        <v>0</v>
      </c>
      <c r="CE26" s="143">
        <f t="shared" si="29"/>
        <v>0</v>
      </c>
      <c r="CF26" s="143">
        <f t="shared" si="30"/>
        <v>0</v>
      </c>
      <c r="CG26" s="143">
        <f t="shared" si="31"/>
        <v>0</v>
      </c>
      <c r="CH26" s="143">
        <f t="shared" si="32"/>
        <v>0</v>
      </c>
      <c r="CI26" s="143">
        <f t="shared" si="33"/>
        <v>0</v>
      </c>
      <c r="CJ26" s="143">
        <f t="shared" si="34"/>
        <v>0</v>
      </c>
      <c r="CK26" s="143">
        <f t="shared" ref="CK26:CV26" si="171">$G26*AR26*IF($H26&gt;50,18,36)+$F26*AR26*IF($H26&gt;50,4,8)+$E26*AR26</f>
        <v>0</v>
      </c>
      <c r="CL26" s="143">
        <f t="shared" si="171"/>
        <v>0</v>
      </c>
      <c r="CM26" s="143">
        <f t="shared" si="171"/>
        <v>0</v>
      </c>
      <c r="CN26" s="143">
        <f t="shared" si="171"/>
        <v>0</v>
      </c>
      <c r="CO26" s="143">
        <f t="shared" si="171"/>
        <v>0</v>
      </c>
      <c r="CP26" s="143">
        <f t="shared" si="171"/>
        <v>0</v>
      </c>
      <c r="CQ26" s="143">
        <f t="shared" si="171"/>
        <v>0</v>
      </c>
      <c r="CR26" s="143">
        <f t="shared" si="171"/>
        <v>0</v>
      </c>
      <c r="CS26" s="143">
        <f t="shared" si="171"/>
        <v>0</v>
      </c>
      <c r="CT26" s="143">
        <f t="shared" si="171"/>
        <v>0</v>
      </c>
      <c r="CU26" s="143">
        <f t="shared" si="171"/>
        <v>0</v>
      </c>
      <c r="CV26" s="143">
        <f t="shared" si="171"/>
        <v>0</v>
      </c>
      <c r="CW26" s="143"/>
      <c r="CX26" s="143">
        <f t="shared" ref="CX26:DJ26" si="172">O26*BH$2/($H26/50)^2</f>
        <v>2</v>
      </c>
      <c r="CY26" s="143">
        <f t="shared" si="172"/>
        <v>0</v>
      </c>
      <c r="CZ26" s="143">
        <f t="shared" si="172"/>
        <v>2.5</v>
      </c>
      <c r="DA26" s="143">
        <f t="shared" si="172"/>
        <v>0</v>
      </c>
      <c r="DB26" s="143">
        <f t="shared" si="172"/>
        <v>0</v>
      </c>
      <c r="DC26" s="143">
        <f t="shared" si="172"/>
        <v>0</v>
      </c>
      <c r="DD26" s="143">
        <f t="shared" si="172"/>
        <v>0</v>
      </c>
      <c r="DE26" s="143">
        <f t="shared" si="172"/>
        <v>0</v>
      </c>
      <c r="DF26" s="143">
        <f t="shared" si="172"/>
        <v>0</v>
      </c>
      <c r="DG26" s="143">
        <f t="shared" si="172"/>
        <v>0</v>
      </c>
      <c r="DH26" s="143">
        <f t="shared" si="172"/>
        <v>0</v>
      </c>
      <c r="DI26" s="143">
        <f t="shared" si="172"/>
        <v>0</v>
      </c>
      <c r="DJ26" s="143">
        <f t="shared" si="172"/>
        <v>0</v>
      </c>
      <c r="DK26" s="143">
        <f t="shared" si="37"/>
        <v>0</v>
      </c>
      <c r="DL26" s="143">
        <f t="shared" si="38"/>
        <v>7.5</v>
      </c>
      <c r="DM26" s="143">
        <f t="shared" ref="DM26:DN26" si="173">AD26*BW$2/($H26/50)^2</f>
        <v>0</v>
      </c>
      <c r="DN26" s="143">
        <f t="shared" si="173"/>
        <v>0</v>
      </c>
      <c r="DO26" s="143">
        <f t="shared" si="40"/>
        <v>0</v>
      </c>
      <c r="DP26" s="143">
        <f t="shared" si="41"/>
        <v>0</v>
      </c>
      <c r="DQ26" s="143">
        <f t="shared" si="42"/>
        <v>0</v>
      </c>
      <c r="DR26" s="143">
        <f t="shared" si="43"/>
        <v>0</v>
      </c>
      <c r="DS26" s="143">
        <f t="shared" si="44"/>
        <v>0</v>
      </c>
      <c r="DT26" s="143">
        <f t="shared" si="45"/>
        <v>0</v>
      </c>
      <c r="DU26" s="143">
        <f t="shared" si="46"/>
        <v>0</v>
      </c>
      <c r="DV26" s="143">
        <f t="shared" si="47"/>
        <v>0</v>
      </c>
      <c r="DW26" s="143">
        <f t="shared" si="48"/>
        <v>0</v>
      </c>
      <c r="DX26" s="143">
        <f t="shared" si="49"/>
        <v>0</v>
      </c>
      <c r="DY26" s="143">
        <f t="shared" si="50"/>
        <v>0</v>
      </c>
      <c r="DZ26" s="143">
        <f t="shared" si="51"/>
        <v>0</v>
      </c>
      <c r="EA26" s="143">
        <f t="shared" ref="EA26:EL26" si="174">AR26*CK$2/($H26/50)^2</f>
        <v>0</v>
      </c>
      <c r="EB26" s="143">
        <f t="shared" si="174"/>
        <v>0</v>
      </c>
      <c r="EC26" s="143">
        <f t="shared" si="174"/>
        <v>0</v>
      </c>
      <c r="ED26" s="143">
        <f t="shared" si="174"/>
        <v>0</v>
      </c>
      <c r="EE26" s="143">
        <f t="shared" si="174"/>
        <v>0</v>
      </c>
      <c r="EF26" s="143">
        <f t="shared" si="174"/>
        <v>0</v>
      </c>
      <c r="EG26" s="143">
        <f t="shared" si="174"/>
        <v>0</v>
      </c>
      <c r="EH26" s="143">
        <f t="shared" si="174"/>
        <v>0</v>
      </c>
      <c r="EI26" s="143">
        <f t="shared" si="174"/>
        <v>0</v>
      </c>
      <c r="EJ26" s="143">
        <f t="shared" si="174"/>
        <v>0</v>
      </c>
      <c r="EK26" s="143">
        <f t="shared" si="174"/>
        <v>0</v>
      </c>
      <c r="EL26" s="143">
        <f t="shared" si="174"/>
        <v>0</v>
      </c>
    </row>
    <row r="27">
      <c r="A27" s="149" t="s">
        <v>83</v>
      </c>
      <c r="B27" s="132">
        <f t="shared" si="10"/>
        <v>0</v>
      </c>
      <c r="C27" s="144"/>
      <c r="D27" s="134">
        <f t="shared" si="11"/>
        <v>0</v>
      </c>
      <c r="E27" s="135">
        <f t="shared" si="12"/>
        <v>0</v>
      </c>
      <c r="F27" s="132">
        <f t="shared" si="13"/>
        <v>0</v>
      </c>
      <c r="G27" s="136">
        <f t="shared" si="14"/>
        <v>0</v>
      </c>
      <c r="H27" s="137">
        <v>100.0</v>
      </c>
      <c r="I27" s="137" t="str">
        <f t="shared" si="132"/>
        <v>Compound Base</v>
      </c>
      <c r="J27" s="139">
        <f t="shared" si="15"/>
        <v>0</v>
      </c>
      <c r="K27" s="140">
        <f t="shared" si="16"/>
        <v>97</v>
      </c>
      <c r="L27" s="139">
        <v>400.0</v>
      </c>
      <c r="M27" s="139">
        <v>2000.0</v>
      </c>
      <c r="N27" s="139">
        <v>4.0</v>
      </c>
      <c r="O27" s="139">
        <v>4.0</v>
      </c>
      <c r="P27" s="141"/>
      <c r="Q27" s="141"/>
      <c r="R27" s="141"/>
      <c r="S27" s="139">
        <v>1.0</v>
      </c>
      <c r="T27" s="141"/>
      <c r="U27" s="141"/>
      <c r="V27" s="141"/>
      <c r="W27" s="141"/>
      <c r="X27" s="141"/>
      <c r="Y27" s="141"/>
      <c r="Z27" s="141"/>
      <c r="AA27" s="141"/>
      <c r="AB27" s="139">
        <v>2.0</v>
      </c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2"/>
      <c r="BE27" s="143">
        <f t="shared" si="17"/>
        <v>0</v>
      </c>
      <c r="BF27" s="143">
        <f t="shared" si="18"/>
        <v>0</v>
      </c>
      <c r="BG27" s="143">
        <f t="shared" ref="BG27:BT27" si="175">$G27*N27*IF($H27&gt;50,18,36)+$F27*N27*IF($H27&gt;50,4,8)+$E27*N27</f>
        <v>0</v>
      </c>
      <c r="BH27" s="143">
        <f t="shared" si="175"/>
        <v>0</v>
      </c>
      <c r="BI27" s="143">
        <f t="shared" si="175"/>
        <v>0</v>
      </c>
      <c r="BJ27" s="143">
        <f t="shared" si="175"/>
        <v>0</v>
      </c>
      <c r="BK27" s="143">
        <f t="shared" si="175"/>
        <v>0</v>
      </c>
      <c r="BL27" s="143">
        <f t="shared" si="175"/>
        <v>0</v>
      </c>
      <c r="BM27" s="143">
        <f t="shared" si="175"/>
        <v>0</v>
      </c>
      <c r="BN27" s="143">
        <f t="shared" si="175"/>
        <v>0</v>
      </c>
      <c r="BO27" s="143">
        <f t="shared" si="175"/>
        <v>0</v>
      </c>
      <c r="BP27" s="143">
        <f t="shared" si="175"/>
        <v>0</v>
      </c>
      <c r="BQ27" s="143">
        <f t="shared" si="175"/>
        <v>0</v>
      </c>
      <c r="BR27" s="143">
        <f t="shared" si="175"/>
        <v>0</v>
      </c>
      <c r="BS27" s="143">
        <f t="shared" si="175"/>
        <v>0</v>
      </c>
      <c r="BT27" s="143">
        <f t="shared" si="175"/>
        <v>0</v>
      </c>
      <c r="BU27" s="143">
        <f t="shared" si="20"/>
        <v>0</v>
      </c>
      <c r="BV27" s="143">
        <f t="shared" si="21"/>
        <v>0</v>
      </c>
      <c r="BW27" s="143">
        <f t="shared" ref="BW27:BX27" si="176">$G27*AD27*IF($H27&gt;50,18,36)+$F27*AD27*IF($H27&gt;50,4,8)+$E27*AD27</f>
        <v>0</v>
      </c>
      <c r="BX27" s="143">
        <f t="shared" si="176"/>
        <v>0</v>
      </c>
      <c r="BY27" s="143">
        <f t="shared" si="23"/>
        <v>0</v>
      </c>
      <c r="BZ27" s="143">
        <f t="shared" si="24"/>
        <v>0</v>
      </c>
      <c r="CA27" s="143">
        <f t="shared" si="25"/>
        <v>0</v>
      </c>
      <c r="CB27" s="143">
        <f t="shared" si="26"/>
        <v>0</v>
      </c>
      <c r="CC27" s="143">
        <f t="shared" si="27"/>
        <v>0</v>
      </c>
      <c r="CD27" s="143">
        <f t="shared" si="28"/>
        <v>0</v>
      </c>
      <c r="CE27" s="143">
        <f t="shared" si="29"/>
        <v>0</v>
      </c>
      <c r="CF27" s="143">
        <f t="shared" si="30"/>
        <v>0</v>
      </c>
      <c r="CG27" s="143">
        <f t="shared" si="31"/>
        <v>0</v>
      </c>
      <c r="CH27" s="143">
        <f t="shared" si="32"/>
        <v>0</v>
      </c>
      <c r="CI27" s="143">
        <f t="shared" si="33"/>
        <v>0</v>
      </c>
      <c r="CJ27" s="143">
        <f t="shared" si="34"/>
        <v>0</v>
      </c>
      <c r="CK27" s="143">
        <f t="shared" ref="CK27:CV27" si="177">$G27*AR27*IF($H27&gt;50,18,36)+$F27*AR27*IF($H27&gt;50,4,8)+$E27*AR27</f>
        <v>0</v>
      </c>
      <c r="CL27" s="143">
        <f t="shared" si="177"/>
        <v>0</v>
      </c>
      <c r="CM27" s="143">
        <f t="shared" si="177"/>
        <v>0</v>
      </c>
      <c r="CN27" s="143">
        <f t="shared" si="177"/>
        <v>0</v>
      </c>
      <c r="CO27" s="143">
        <f t="shared" si="177"/>
        <v>0</v>
      </c>
      <c r="CP27" s="143">
        <f t="shared" si="177"/>
        <v>0</v>
      </c>
      <c r="CQ27" s="143">
        <f t="shared" si="177"/>
        <v>0</v>
      </c>
      <c r="CR27" s="143">
        <f t="shared" si="177"/>
        <v>0</v>
      </c>
      <c r="CS27" s="143">
        <f t="shared" si="177"/>
        <v>0</v>
      </c>
      <c r="CT27" s="143">
        <f t="shared" si="177"/>
        <v>0</v>
      </c>
      <c r="CU27" s="143">
        <f t="shared" si="177"/>
        <v>0</v>
      </c>
      <c r="CV27" s="143">
        <f t="shared" si="177"/>
        <v>0</v>
      </c>
      <c r="CW27" s="143"/>
      <c r="CX27" s="143">
        <f t="shared" ref="CX27:DJ27" si="178">O27*BH$2/($H27/50)^2</f>
        <v>4</v>
      </c>
      <c r="CY27" s="143">
        <f t="shared" si="178"/>
        <v>0</v>
      </c>
      <c r="CZ27" s="143">
        <f t="shared" si="178"/>
        <v>0</v>
      </c>
      <c r="DA27" s="143">
        <f t="shared" si="178"/>
        <v>0</v>
      </c>
      <c r="DB27" s="143">
        <f t="shared" si="178"/>
        <v>12.5</v>
      </c>
      <c r="DC27" s="143">
        <f t="shared" si="178"/>
        <v>0</v>
      </c>
      <c r="DD27" s="143">
        <f t="shared" si="178"/>
        <v>0</v>
      </c>
      <c r="DE27" s="143">
        <f t="shared" si="178"/>
        <v>0</v>
      </c>
      <c r="DF27" s="143">
        <f t="shared" si="178"/>
        <v>0</v>
      </c>
      <c r="DG27" s="143">
        <f t="shared" si="178"/>
        <v>0</v>
      </c>
      <c r="DH27" s="143">
        <f t="shared" si="178"/>
        <v>0</v>
      </c>
      <c r="DI27" s="143">
        <f t="shared" si="178"/>
        <v>0</v>
      </c>
      <c r="DJ27" s="143">
        <f t="shared" si="178"/>
        <v>0</v>
      </c>
      <c r="DK27" s="143">
        <f t="shared" si="37"/>
        <v>0</v>
      </c>
      <c r="DL27" s="143">
        <f t="shared" si="38"/>
        <v>15</v>
      </c>
      <c r="DM27" s="143">
        <f t="shared" ref="DM27:DN27" si="179">AD27*BW$2/($H27/50)^2</f>
        <v>0</v>
      </c>
      <c r="DN27" s="143">
        <f t="shared" si="179"/>
        <v>0</v>
      </c>
      <c r="DO27" s="143">
        <f t="shared" si="40"/>
        <v>0</v>
      </c>
      <c r="DP27" s="143">
        <f t="shared" si="41"/>
        <v>0</v>
      </c>
      <c r="DQ27" s="143">
        <f t="shared" si="42"/>
        <v>0</v>
      </c>
      <c r="DR27" s="143">
        <f t="shared" si="43"/>
        <v>0</v>
      </c>
      <c r="DS27" s="143">
        <f t="shared" si="44"/>
        <v>0</v>
      </c>
      <c r="DT27" s="143">
        <f t="shared" si="45"/>
        <v>0</v>
      </c>
      <c r="DU27" s="143">
        <f t="shared" si="46"/>
        <v>0</v>
      </c>
      <c r="DV27" s="143">
        <f t="shared" si="47"/>
        <v>0</v>
      </c>
      <c r="DW27" s="143">
        <f t="shared" si="48"/>
        <v>0</v>
      </c>
      <c r="DX27" s="143">
        <f t="shared" si="49"/>
        <v>0</v>
      </c>
      <c r="DY27" s="143">
        <f t="shared" si="50"/>
        <v>0</v>
      </c>
      <c r="DZ27" s="143">
        <f t="shared" si="51"/>
        <v>0</v>
      </c>
      <c r="EA27" s="143">
        <f t="shared" ref="EA27:EL27" si="180">AR27*CK$2/($H27/50)^2</f>
        <v>0</v>
      </c>
      <c r="EB27" s="143">
        <f t="shared" si="180"/>
        <v>0</v>
      </c>
      <c r="EC27" s="143">
        <f t="shared" si="180"/>
        <v>0</v>
      </c>
      <c r="ED27" s="143">
        <f t="shared" si="180"/>
        <v>0</v>
      </c>
      <c r="EE27" s="143">
        <f t="shared" si="180"/>
        <v>0</v>
      </c>
      <c r="EF27" s="143">
        <f t="shared" si="180"/>
        <v>0</v>
      </c>
      <c r="EG27" s="143">
        <f t="shared" si="180"/>
        <v>0</v>
      </c>
      <c r="EH27" s="143">
        <f t="shared" si="180"/>
        <v>0</v>
      </c>
      <c r="EI27" s="143">
        <f t="shared" si="180"/>
        <v>0</v>
      </c>
      <c r="EJ27" s="143">
        <f t="shared" si="180"/>
        <v>0</v>
      </c>
      <c r="EK27" s="143">
        <f t="shared" si="180"/>
        <v>0</v>
      </c>
      <c r="EL27" s="143">
        <f t="shared" si="180"/>
        <v>0</v>
      </c>
    </row>
    <row r="28">
      <c r="A28" s="149" t="s">
        <v>84</v>
      </c>
      <c r="B28" s="132">
        <f t="shared" si="10"/>
        <v>0</v>
      </c>
      <c r="C28" s="147"/>
      <c r="D28" s="134">
        <f t="shared" si="11"/>
        <v>0</v>
      </c>
      <c r="E28" s="135">
        <f t="shared" si="12"/>
        <v>0</v>
      </c>
      <c r="F28" s="132">
        <f t="shared" si="13"/>
        <v>0</v>
      </c>
      <c r="G28" s="136">
        <f t="shared" si="14"/>
        <v>0</v>
      </c>
      <c r="H28" s="137">
        <v>100.0</v>
      </c>
      <c r="I28" s="137" t="str">
        <f t="shared" si="132"/>
        <v>Compound Base</v>
      </c>
      <c r="J28" s="139">
        <f t="shared" si="15"/>
        <v>0</v>
      </c>
      <c r="K28" s="140">
        <f t="shared" si="16"/>
        <v>77</v>
      </c>
      <c r="L28" s="139">
        <v>200.0</v>
      </c>
      <c r="M28" s="139">
        <v>1000.0</v>
      </c>
      <c r="N28" s="139">
        <v>2.0</v>
      </c>
      <c r="O28" s="139">
        <v>2.0</v>
      </c>
      <c r="P28" s="139"/>
      <c r="Q28" s="139">
        <v>1.0</v>
      </c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39">
        <v>1.0</v>
      </c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2"/>
      <c r="BE28" s="143">
        <f t="shared" si="17"/>
        <v>0</v>
      </c>
      <c r="BF28" s="143">
        <f t="shared" si="18"/>
        <v>0</v>
      </c>
      <c r="BG28" s="143">
        <f t="shared" ref="BG28:BT28" si="181">$G28*N28*IF($H28&gt;50,18,36)+$F28*N28*IF($H28&gt;50,4,8)+$E28*N28</f>
        <v>0</v>
      </c>
      <c r="BH28" s="143">
        <f t="shared" si="181"/>
        <v>0</v>
      </c>
      <c r="BI28" s="143">
        <f t="shared" si="181"/>
        <v>0</v>
      </c>
      <c r="BJ28" s="143">
        <f t="shared" si="181"/>
        <v>0</v>
      </c>
      <c r="BK28" s="143">
        <f t="shared" si="181"/>
        <v>0</v>
      </c>
      <c r="BL28" s="143">
        <f t="shared" si="181"/>
        <v>0</v>
      </c>
      <c r="BM28" s="143">
        <f t="shared" si="181"/>
        <v>0</v>
      </c>
      <c r="BN28" s="143">
        <f t="shared" si="181"/>
        <v>0</v>
      </c>
      <c r="BO28" s="143">
        <f t="shared" si="181"/>
        <v>0</v>
      </c>
      <c r="BP28" s="143">
        <f t="shared" si="181"/>
        <v>0</v>
      </c>
      <c r="BQ28" s="143">
        <f t="shared" si="181"/>
        <v>0</v>
      </c>
      <c r="BR28" s="143">
        <f t="shared" si="181"/>
        <v>0</v>
      </c>
      <c r="BS28" s="143">
        <f t="shared" si="181"/>
        <v>0</v>
      </c>
      <c r="BT28" s="143">
        <f t="shared" si="181"/>
        <v>0</v>
      </c>
      <c r="BU28" s="143">
        <f t="shared" si="20"/>
        <v>0</v>
      </c>
      <c r="BV28" s="143">
        <f t="shared" si="21"/>
        <v>0</v>
      </c>
      <c r="BW28" s="143">
        <f t="shared" ref="BW28:BX28" si="182">$G28*AD28*IF($H28&gt;50,18,36)+$F28*AD28*IF($H28&gt;50,4,8)+$E28*AD28</f>
        <v>0</v>
      </c>
      <c r="BX28" s="143">
        <f t="shared" si="182"/>
        <v>0</v>
      </c>
      <c r="BY28" s="143">
        <f t="shared" si="23"/>
        <v>0</v>
      </c>
      <c r="BZ28" s="143">
        <f t="shared" si="24"/>
        <v>0</v>
      </c>
      <c r="CA28" s="143">
        <f t="shared" si="25"/>
        <v>0</v>
      </c>
      <c r="CB28" s="143">
        <f t="shared" si="26"/>
        <v>0</v>
      </c>
      <c r="CC28" s="143">
        <f t="shared" si="27"/>
        <v>0</v>
      </c>
      <c r="CD28" s="143">
        <f t="shared" si="28"/>
        <v>0</v>
      </c>
      <c r="CE28" s="143">
        <f t="shared" si="29"/>
        <v>0</v>
      </c>
      <c r="CF28" s="143">
        <f t="shared" si="30"/>
        <v>0</v>
      </c>
      <c r="CG28" s="143">
        <f t="shared" si="31"/>
        <v>0</v>
      </c>
      <c r="CH28" s="143">
        <f t="shared" si="32"/>
        <v>0</v>
      </c>
      <c r="CI28" s="143">
        <f t="shared" si="33"/>
        <v>0</v>
      </c>
      <c r="CJ28" s="143">
        <f t="shared" si="34"/>
        <v>0</v>
      </c>
      <c r="CK28" s="143">
        <f t="shared" ref="CK28:CV28" si="183">$G28*AR28*IF($H28&gt;50,18,36)+$F28*AR28*IF($H28&gt;50,4,8)+$E28*AR28</f>
        <v>0</v>
      </c>
      <c r="CL28" s="143">
        <f t="shared" si="183"/>
        <v>0</v>
      </c>
      <c r="CM28" s="143">
        <f t="shared" si="183"/>
        <v>0</v>
      </c>
      <c r="CN28" s="143">
        <f t="shared" si="183"/>
        <v>0</v>
      </c>
      <c r="CO28" s="143">
        <f t="shared" si="183"/>
        <v>0</v>
      </c>
      <c r="CP28" s="143">
        <f t="shared" si="183"/>
        <v>0</v>
      </c>
      <c r="CQ28" s="143">
        <f t="shared" si="183"/>
        <v>0</v>
      </c>
      <c r="CR28" s="143">
        <f t="shared" si="183"/>
        <v>0</v>
      </c>
      <c r="CS28" s="143">
        <f t="shared" si="183"/>
        <v>0</v>
      </c>
      <c r="CT28" s="143">
        <f t="shared" si="183"/>
        <v>0</v>
      </c>
      <c r="CU28" s="143">
        <f t="shared" si="183"/>
        <v>0</v>
      </c>
      <c r="CV28" s="143">
        <f t="shared" si="183"/>
        <v>0</v>
      </c>
      <c r="CW28" s="143"/>
      <c r="CX28" s="143">
        <f t="shared" ref="CX28:DJ28" si="184">O28*BH$2/($H28/50)^2</f>
        <v>2</v>
      </c>
      <c r="CY28" s="143">
        <f t="shared" si="184"/>
        <v>0</v>
      </c>
      <c r="CZ28" s="143">
        <f t="shared" si="184"/>
        <v>2.5</v>
      </c>
      <c r="DA28" s="143">
        <f t="shared" si="184"/>
        <v>0</v>
      </c>
      <c r="DB28" s="143">
        <f t="shared" si="184"/>
        <v>0</v>
      </c>
      <c r="DC28" s="143">
        <f t="shared" si="184"/>
        <v>0</v>
      </c>
      <c r="DD28" s="143">
        <f t="shared" si="184"/>
        <v>0</v>
      </c>
      <c r="DE28" s="143">
        <f t="shared" si="184"/>
        <v>0</v>
      </c>
      <c r="DF28" s="143">
        <f t="shared" si="184"/>
        <v>0</v>
      </c>
      <c r="DG28" s="143">
        <f t="shared" si="184"/>
        <v>0</v>
      </c>
      <c r="DH28" s="143">
        <f t="shared" si="184"/>
        <v>0</v>
      </c>
      <c r="DI28" s="143">
        <f t="shared" si="184"/>
        <v>0</v>
      </c>
      <c r="DJ28" s="143">
        <f t="shared" si="184"/>
        <v>0</v>
      </c>
      <c r="DK28" s="143">
        <f t="shared" si="37"/>
        <v>0</v>
      </c>
      <c r="DL28" s="143">
        <f t="shared" si="38"/>
        <v>7.5</v>
      </c>
      <c r="DM28" s="143">
        <f t="shared" ref="DM28:DN28" si="185">AD28*BW$2/($H28/50)^2</f>
        <v>0</v>
      </c>
      <c r="DN28" s="143">
        <f t="shared" si="185"/>
        <v>0</v>
      </c>
      <c r="DO28" s="143">
        <f t="shared" si="40"/>
        <v>0</v>
      </c>
      <c r="DP28" s="143">
        <f t="shared" si="41"/>
        <v>0</v>
      </c>
      <c r="DQ28" s="143">
        <f t="shared" si="42"/>
        <v>0</v>
      </c>
      <c r="DR28" s="143">
        <f t="shared" si="43"/>
        <v>0</v>
      </c>
      <c r="DS28" s="143">
        <f t="shared" si="44"/>
        <v>0</v>
      </c>
      <c r="DT28" s="143">
        <f t="shared" si="45"/>
        <v>0</v>
      </c>
      <c r="DU28" s="143">
        <f t="shared" si="46"/>
        <v>0</v>
      </c>
      <c r="DV28" s="143">
        <f t="shared" si="47"/>
        <v>0</v>
      </c>
      <c r="DW28" s="143">
        <f t="shared" si="48"/>
        <v>0</v>
      </c>
      <c r="DX28" s="143">
        <f t="shared" si="49"/>
        <v>0</v>
      </c>
      <c r="DY28" s="143">
        <f t="shared" si="50"/>
        <v>0</v>
      </c>
      <c r="DZ28" s="143">
        <f t="shared" si="51"/>
        <v>0</v>
      </c>
      <c r="EA28" s="143">
        <f t="shared" ref="EA28:EL28" si="186">AR28*CK$2/($H28/50)^2</f>
        <v>0</v>
      </c>
      <c r="EB28" s="143">
        <f t="shared" si="186"/>
        <v>0</v>
      </c>
      <c r="EC28" s="143">
        <f t="shared" si="186"/>
        <v>0</v>
      </c>
      <c r="ED28" s="143">
        <f t="shared" si="186"/>
        <v>0</v>
      </c>
      <c r="EE28" s="143">
        <f t="shared" si="186"/>
        <v>0</v>
      </c>
      <c r="EF28" s="143">
        <f t="shared" si="186"/>
        <v>0</v>
      </c>
      <c r="EG28" s="143">
        <f t="shared" si="186"/>
        <v>0</v>
      </c>
      <c r="EH28" s="143">
        <f t="shared" si="186"/>
        <v>0</v>
      </c>
      <c r="EI28" s="143">
        <f t="shared" si="186"/>
        <v>0</v>
      </c>
      <c r="EJ28" s="143">
        <f t="shared" si="186"/>
        <v>0</v>
      </c>
      <c r="EK28" s="143">
        <f t="shared" si="186"/>
        <v>0</v>
      </c>
      <c r="EL28" s="143">
        <f t="shared" si="186"/>
        <v>0</v>
      </c>
    </row>
    <row r="29">
      <c r="A29" s="149" t="s">
        <v>85</v>
      </c>
      <c r="B29" s="132">
        <f t="shared" si="10"/>
        <v>0</v>
      </c>
      <c r="C29" s="148"/>
      <c r="D29" s="134">
        <f t="shared" si="11"/>
        <v>0</v>
      </c>
      <c r="E29" s="135">
        <f t="shared" si="12"/>
        <v>0</v>
      </c>
      <c r="F29" s="132">
        <f t="shared" si="13"/>
        <v>0</v>
      </c>
      <c r="G29" s="136">
        <f t="shared" si="14"/>
        <v>0</v>
      </c>
      <c r="H29" s="137">
        <v>100.0</v>
      </c>
      <c r="I29" s="137" t="str">
        <f t="shared" si="132"/>
        <v>Compound Base</v>
      </c>
      <c r="J29" s="139">
        <f t="shared" si="15"/>
        <v>0</v>
      </c>
      <c r="K29" s="140">
        <f t="shared" si="16"/>
        <v>97</v>
      </c>
      <c r="L29" s="139">
        <v>400.0</v>
      </c>
      <c r="M29" s="139">
        <v>2500.0</v>
      </c>
      <c r="N29" s="139">
        <v>4.0</v>
      </c>
      <c r="O29" s="139">
        <v>4.0</v>
      </c>
      <c r="P29" s="141"/>
      <c r="Q29" s="141"/>
      <c r="R29" s="141"/>
      <c r="S29" s="139">
        <v>1.0</v>
      </c>
      <c r="T29" s="141"/>
      <c r="U29" s="141"/>
      <c r="V29" s="141"/>
      <c r="W29" s="141"/>
      <c r="X29" s="141"/>
      <c r="Y29" s="141"/>
      <c r="Z29" s="141"/>
      <c r="AA29" s="141"/>
      <c r="AB29" s="139">
        <v>2.0</v>
      </c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2"/>
      <c r="BE29" s="143">
        <f t="shared" si="17"/>
        <v>0</v>
      </c>
      <c r="BF29" s="143">
        <f t="shared" si="18"/>
        <v>0</v>
      </c>
      <c r="BG29" s="143">
        <f t="shared" ref="BG29:BT29" si="187">$G29*N29*IF($H29&gt;50,18,36)+$F29*N29*IF($H29&gt;50,4,8)+$E29*N29</f>
        <v>0</v>
      </c>
      <c r="BH29" s="143">
        <f t="shared" si="187"/>
        <v>0</v>
      </c>
      <c r="BI29" s="143">
        <f t="shared" si="187"/>
        <v>0</v>
      </c>
      <c r="BJ29" s="143">
        <f t="shared" si="187"/>
        <v>0</v>
      </c>
      <c r="BK29" s="143">
        <f t="shared" si="187"/>
        <v>0</v>
      </c>
      <c r="BL29" s="143">
        <f t="shared" si="187"/>
        <v>0</v>
      </c>
      <c r="BM29" s="143">
        <f t="shared" si="187"/>
        <v>0</v>
      </c>
      <c r="BN29" s="143">
        <f t="shared" si="187"/>
        <v>0</v>
      </c>
      <c r="BO29" s="143">
        <f t="shared" si="187"/>
        <v>0</v>
      </c>
      <c r="BP29" s="143">
        <f t="shared" si="187"/>
        <v>0</v>
      </c>
      <c r="BQ29" s="143">
        <f t="shared" si="187"/>
        <v>0</v>
      </c>
      <c r="BR29" s="143">
        <f t="shared" si="187"/>
        <v>0</v>
      </c>
      <c r="BS29" s="143">
        <f t="shared" si="187"/>
        <v>0</v>
      </c>
      <c r="BT29" s="143">
        <f t="shared" si="187"/>
        <v>0</v>
      </c>
      <c r="BU29" s="143">
        <f t="shared" si="20"/>
        <v>0</v>
      </c>
      <c r="BV29" s="143">
        <f t="shared" si="21"/>
        <v>0</v>
      </c>
      <c r="BW29" s="143">
        <f t="shared" ref="BW29:BX29" si="188">$G29*AD29*IF($H29&gt;50,18,36)+$F29*AD29*IF($H29&gt;50,4,8)+$E29*AD29</f>
        <v>0</v>
      </c>
      <c r="BX29" s="143">
        <f t="shared" si="188"/>
        <v>0</v>
      </c>
      <c r="BY29" s="143">
        <f t="shared" si="23"/>
        <v>0</v>
      </c>
      <c r="BZ29" s="143">
        <f t="shared" si="24"/>
        <v>0</v>
      </c>
      <c r="CA29" s="143">
        <f t="shared" si="25"/>
        <v>0</v>
      </c>
      <c r="CB29" s="143">
        <f t="shared" si="26"/>
        <v>0</v>
      </c>
      <c r="CC29" s="143">
        <f t="shared" si="27"/>
        <v>0</v>
      </c>
      <c r="CD29" s="143">
        <f t="shared" si="28"/>
        <v>0</v>
      </c>
      <c r="CE29" s="143">
        <f t="shared" si="29"/>
        <v>0</v>
      </c>
      <c r="CF29" s="143">
        <f t="shared" si="30"/>
        <v>0</v>
      </c>
      <c r="CG29" s="143">
        <f t="shared" si="31"/>
        <v>0</v>
      </c>
      <c r="CH29" s="143">
        <f t="shared" si="32"/>
        <v>0</v>
      </c>
      <c r="CI29" s="143">
        <f t="shared" si="33"/>
        <v>0</v>
      </c>
      <c r="CJ29" s="143">
        <f t="shared" si="34"/>
        <v>0</v>
      </c>
      <c r="CK29" s="143">
        <f t="shared" ref="CK29:CV29" si="189">$G29*AR29*IF($H29&gt;50,18,36)+$F29*AR29*IF($H29&gt;50,4,8)+$E29*AR29</f>
        <v>0</v>
      </c>
      <c r="CL29" s="143">
        <f t="shared" si="189"/>
        <v>0</v>
      </c>
      <c r="CM29" s="143">
        <f t="shared" si="189"/>
        <v>0</v>
      </c>
      <c r="CN29" s="143">
        <f t="shared" si="189"/>
        <v>0</v>
      </c>
      <c r="CO29" s="143">
        <f t="shared" si="189"/>
        <v>0</v>
      </c>
      <c r="CP29" s="143">
        <f t="shared" si="189"/>
        <v>0</v>
      </c>
      <c r="CQ29" s="143">
        <f t="shared" si="189"/>
        <v>0</v>
      </c>
      <c r="CR29" s="143">
        <f t="shared" si="189"/>
        <v>0</v>
      </c>
      <c r="CS29" s="143">
        <f t="shared" si="189"/>
        <v>0</v>
      </c>
      <c r="CT29" s="143">
        <f t="shared" si="189"/>
        <v>0</v>
      </c>
      <c r="CU29" s="143">
        <f t="shared" si="189"/>
        <v>0</v>
      </c>
      <c r="CV29" s="143">
        <f t="shared" si="189"/>
        <v>0</v>
      </c>
      <c r="CW29" s="143"/>
      <c r="CX29" s="143">
        <f t="shared" ref="CX29:DJ29" si="190">O29*BH$2/($H29/50)^2</f>
        <v>4</v>
      </c>
      <c r="CY29" s="143">
        <f t="shared" si="190"/>
        <v>0</v>
      </c>
      <c r="CZ29" s="143">
        <f t="shared" si="190"/>
        <v>0</v>
      </c>
      <c r="DA29" s="143">
        <f t="shared" si="190"/>
        <v>0</v>
      </c>
      <c r="DB29" s="143">
        <f t="shared" si="190"/>
        <v>12.5</v>
      </c>
      <c r="DC29" s="143">
        <f t="shared" si="190"/>
        <v>0</v>
      </c>
      <c r="DD29" s="143">
        <f t="shared" si="190"/>
        <v>0</v>
      </c>
      <c r="DE29" s="143">
        <f t="shared" si="190"/>
        <v>0</v>
      </c>
      <c r="DF29" s="143">
        <f t="shared" si="190"/>
        <v>0</v>
      </c>
      <c r="DG29" s="143">
        <f t="shared" si="190"/>
        <v>0</v>
      </c>
      <c r="DH29" s="143">
        <f t="shared" si="190"/>
        <v>0</v>
      </c>
      <c r="DI29" s="143">
        <f t="shared" si="190"/>
        <v>0</v>
      </c>
      <c r="DJ29" s="143">
        <f t="shared" si="190"/>
        <v>0</v>
      </c>
      <c r="DK29" s="143">
        <f t="shared" si="37"/>
        <v>0</v>
      </c>
      <c r="DL29" s="143">
        <f t="shared" si="38"/>
        <v>15</v>
      </c>
      <c r="DM29" s="143">
        <f t="shared" ref="DM29:DN29" si="191">AD29*BW$2/($H29/50)^2</f>
        <v>0</v>
      </c>
      <c r="DN29" s="143">
        <f t="shared" si="191"/>
        <v>0</v>
      </c>
      <c r="DO29" s="143">
        <f t="shared" si="40"/>
        <v>0</v>
      </c>
      <c r="DP29" s="143">
        <f t="shared" si="41"/>
        <v>0</v>
      </c>
      <c r="DQ29" s="143">
        <f t="shared" si="42"/>
        <v>0</v>
      </c>
      <c r="DR29" s="143">
        <f t="shared" si="43"/>
        <v>0</v>
      </c>
      <c r="DS29" s="143">
        <f t="shared" si="44"/>
        <v>0</v>
      </c>
      <c r="DT29" s="143">
        <f t="shared" si="45"/>
        <v>0</v>
      </c>
      <c r="DU29" s="143">
        <f t="shared" si="46"/>
        <v>0</v>
      </c>
      <c r="DV29" s="143">
        <f t="shared" si="47"/>
        <v>0</v>
      </c>
      <c r="DW29" s="143">
        <f t="shared" si="48"/>
        <v>0</v>
      </c>
      <c r="DX29" s="143">
        <f t="shared" si="49"/>
        <v>0</v>
      </c>
      <c r="DY29" s="143">
        <f t="shared" si="50"/>
        <v>0</v>
      </c>
      <c r="DZ29" s="143">
        <f t="shared" si="51"/>
        <v>0</v>
      </c>
      <c r="EA29" s="143">
        <f t="shared" ref="EA29:EL29" si="192">AR29*CK$2/($H29/50)^2</f>
        <v>0</v>
      </c>
      <c r="EB29" s="143">
        <f t="shared" si="192"/>
        <v>0</v>
      </c>
      <c r="EC29" s="143">
        <f t="shared" si="192"/>
        <v>0</v>
      </c>
      <c r="ED29" s="143">
        <f t="shared" si="192"/>
        <v>0</v>
      </c>
      <c r="EE29" s="143">
        <f t="shared" si="192"/>
        <v>0</v>
      </c>
      <c r="EF29" s="143">
        <f t="shared" si="192"/>
        <v>0</v>
      </c>
      <c r="EG29" s="143">
        <f t="shared" si="192"/>
        <v>0</v>
      </c>
      <c r="EH29" s="143">
        <f t="shared" si="192"/>
        <v>0</v>
      </c>
      <c r="EI29" s="143">
        <f t="shared" si="192"/>
        <v>0</v>
      </c>
      <c r="EJ29" s="143">
        <f t="shared" si="192"/>
        <v>0</v>
      </c>
      <c r="EK29" s="143">
        <f t="shared" si="192"/>
        <v>0</v>
      </c>
      <c r="EL29" s="143">
        <f t="shared" si="192"/>
        <v>0</v>
      </c>
    </row>
    <row r="30">
      <c r="A30" s="149" t="s">
        <v>86</v>
      </c>
      <c r="B30" s="132">
        <f t="shared" si="10"/>
        <v>0</v>
      </c>
      <c r="C30" s="146">
        <v>20.0</v>
      </c>
      <c r="D30" s="134">
        <f t="shared" si="11"/>
        <v>20</v>
      </c>
      <c r="E30" s="135">
        <f t="shared" si="12"/>
        <v>0</v>
      </c>
      <c r="F30" s="132">
        <f t="shared" si="13"/>
        <v>1</v>
      </c>
      <c r="G30" s="136">
        <f t="shared" si="14"/>
        <v>0</v>
      </c>
      <c r="H30" s="137">
        <v>100.0</v>
      </c>
      <c r="I30" s="137" t="str">
        <f t="shared" si="132"/>
        <v>Compound Base</v>
      </c>
      <c r="J30" s="139">
        <f t="shared" si="15"/>
        <v>1540</v>
      </c>
      <c r="K30" s="140">
        <f t="shared" si="16"/>
        <v>77</v>
      </c>
      <c r="L30" s="139">
        <v>200.0</v>
      </c>
      <c r="M30" s="139">
        <v>1000.0</v>
      </c>
      <c r="N30" s="139">
        <v>2.0</v>
      </c>
      <c r="O30" s="139">
        <v>2.0</v>
      </c>
      <c r="P30" s="139"/>
      <c r="Q30" s="139">
        <v>1.0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39">
        <v>1.0</v>
      </c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2"/>
      <c r="BE30" s="143">
        <f t="shared" si="17"/>
        <v>2000</v>
      </c>
      <c r="BF30" s="143">
        <f t="shared" si="18"/>
        <v>1000</v>
      </c>
      <c r="BG30" s="143">
        <f t="shared" ref="BG30:BT30" si="193">$G30*N30*IF($H30&gt;50,18,36)+$F30*N30*IF($H30&gt;50,4,8)+$E30*N30</f>
        <v>8</v>
      </c>
      <c r="BH30" s="143">
        <f t="shared" si="193"/>
        <v>8</v>
      </c>
      <c r="BI30" s="143">
        <f t="shared" si="193"/>
        <v>0</v>
      </c>
      <c r="BJ30" s="143">
        <f t="shared" si="193"/>
        <v>4</v>
      </c>
      <c r="BK30" s="143">
        <f t="shared" si="193"/>
        <v>0</v>
      </c>
      <c r="BL30" s="143">
        <f t="shared" si="193"/>
        <v>0</v>
      </c>
      <c r="BM30" s="143">
        <f t="shared" si="193"/>
        <v>0</v>
      </c>
      <c r="BN30" s="143">
        <f t="shared" si="193"/>
        <v>0</v>
      </c>
      <c r="BO30" s="143">
        <f t="shared" si="193"/>
        <v>0</v>
      </c>
      <c r="BP30" s="143">
        <f t="shared" si="193"/>
        <v>0</v>
      </c>
      <c r="BQ30" s="143">
        <f t="shared" si="193"/>
        <v>0</v>
      </c>
      <c r="BR30" s="143">
        <f t="shared" si="193"/>
        <v>0</v>
      </c>
      <c r="BS30" s="143">
        <f t="shared" si="193"/>
        <v>0</v>
      </c>
      <c r="BT30" s="143">
        <f t="shared" si="193"/>
        <v>0</v>
      </c>
      <c r="BU30" s="143">
        <f t="shared" si="20"/>
        <v>0</v>
      </c>
      <c r="BV30" s="143">
        <f t="shared" si="21"/>
        <v>0</v>
      </c>
      <c r="BW30" s="143">
        <f t="shared" ref="BW30:BX30" si="194">$G30*AD30*IF($H30&gt;50,18,36)+$F30*AD30*IF($H30&gt;50,4,8)+$E30*AD30</f>
        <v>4</v>
      </c>
      <c r="BX30" s="143">
        <f t="shared" si="194"/>
        <v>0</v>
      </c>
      <c r="BY30" s="143">
        <f t="shared" si="23"/>
        <v>0</v>
      </c>
      <c r="BZ30" s="143">
        <f t="shared" si="24"/>
        <v>0</v>
      </c>
      <c r="CA30" s="143">
        <f t="shared" si="25"/>
        <v>0</v>
      </c>
      <c r="CB30" s="143">
        <f t="shared" si="26"/>
        <v>0</v>
      </c>
      <c r="CC30" s="143">
        <f t="shared" si="27"/>
        <v>0</v>
      </c>
      <c r="CD30" s="143">
        <f t="shared" si="28"/>
        <v>0</v>
      </c>
      <c r="CE30" s="143">
        <f t="shared" si="29"/>
        <v>0</v>
      </c>
      <c r="CF30" s="143">
        <f t="shared" si="30"/>
        <v>0</v>
      </c>
      <c r="CG30" s="143">
        <f t="shared" si="31"/>
        <v>0</v>
      </c>
      <c r="CH30" s="143">
        <f t="shared" si="32"/>
        <v>0</v>
      </c>
      <c r="CI30" s="143">
        <f t="shared" si="33"/>
        <v>0</v>
      </c>
      <c r="CJ30" s="143">
        <f t="shared" si="34"/>
        <v>0</v>
      </c>
      <c r="CK30" s="143">
        <f t="shared" ref="CK30:CV30" si="195">$G30*AR30*IF($H30&gt;50,18,36)+$F30*AR30*IF($H30&gt;50,4,8)+$E30*AR30</f>
        <v>0</v>
      </c>
      <c r="CL30" s="143">
        <f t="shared" si="195"/>
        <v>0</v>
      </c>
      <c r="CM30" s="143">
        <f t="shared" si="195"/>
        <v>0</v>
      </c>
      <c r="CN30" s="143">
        <f t="shared" si="195"/>
        <v>0</v>
      </c>
      <c r="CO30" s="143">
        <f t="shared" si="195"/>
        <v>0</v>
      </c>
      <c r="CP30" s="143">
        <f t="shared" si="195"/>
        <v>0</v>
      </c>
      <c r="CQ30" s="143">
        <f t="shared" si="195"/>
        <v>0</v>
      </c>
      <c r="CR30" s="143">
        <f t="shared" si="195"/>
        <v>0</v>
      </c>
      <c r="CS30" s="143">
        <f t="shared" si="195"/>
        <v>0</v>
      </c>
      <c r="CT30" s="143">
        <f t="shared" si="195"/>
        <v>0</v>
      </c>
      <c r="CU30" s="143">
        <f t="shared" si="195"/>
        <v>0</v>
      </c>
      <c r="CV30" s="143">
        <f t="shared" si="195"/>
        <v>0</v>
      </c>
      <c r="CW30" s="143"/>
      <c r="CX30" s="143">
        <f t="shared" ref="CX30:DJ30" si="196">O30*BH$2/($H30/50)^2</f>
        <v>2</v>
      </c>
      <c r="CY30" s="143">
        <f t="shared" si="196"/>
        <v>0</v>
      </c>
      <c r="CZ30" s="143">
        <f t="shared" si="196"/>
        <v>2.5</v>
      </c>
      <c r="DA30" s="143">
        <f t="shared" si="196"/>
        <v>0</v>
      </c>
      <c r="DB30" s="143">
        <f t="shared" si="196"/>
        <v>0</v>
      </c>
      <c r="DC30" s="143">
        <f t="shared" si="196"/>
        <v>0</v>
      </c>
      <c r="DD30" s="143">
        <f t="shared" si="196"/>
        <v>0</v>
      </c>
      <c r="DE30" s="143">
        <f t="shared" si="196"/>
        <v>0</v>
      </c>
      <c r="DF30" s="143">
        <f t="shared" si="196"/>
        <v>0</v>
      </c>
      <c r="DG30" s="143">
        <f t="shared" si="196"/>
        <v>0</v>
      </c>
      <c r="DH30" s="143">
        <f t="shared" si="196"/>
        <v>0</v>
      </c>
      <c r="DI30" s="143">
        <f t="shared" si="196"/>
        <v>0</v>
      </c>
      <c r="DJ30" s="143">
        <f t="shared" si="196"/>
        <v>0</v>
      </c>
      <c r="DK30" s="143">
        <f t="shared" si="37"/>
        <v>0</v>
      </c>
      <c r="DL30" s="143">
        <f t="shared" si="38"/>
        <v>0</v>
      </c>
      <c r="DM30" s="143">
        <f t="shared" ref="DM30:DN30" si="197">AD30*BW$2/($H30/50)^2</f>
        <v>7.5</v>
      </c>
      <c r="DN30" s="143">
        <f t="shared" si="197"/>
        <v>0</v>
      </c>
      <c r="DO30" s="143">
        <f t="shared" si="40"/>
        <v>0</v>
      </c>
      <c r="DP30" s="143">
        <f t="shared" si="41"/>
        <v>0</v>
      </c>
      <c r="DQ30" s="143">
        <f t="shared" si="42"/>
        <v>0</v>
      </c>
      <c r="DR30" s="143">
        <f t="shared" si="43"/>
        <v>0</v>
      </c>
      <c r="DS30" s="143">
        <f t="shared" si="44"/>
        <v>0</v>
      </c>
      <c r="DT30" s="143">
        <f t="shared" si="45"/>
        <v>0</v>
      </c>
      <c r="DU30" s="143">
        <f t="shared" si="46"/>
        <v>0</v>
      </c>
      <c r="DV30" s="143">
        <f t="shared" si="47"/>
        <v>0</v>
      </c>
      <c r="DW30" s="143">
        <f t="shared" si="48"/>
        <v>0</v>
      </c>
      <c r="DX30" s="143">
        <f t="shared" si="49"/>
        <v>0</v>
      </c>
      <c r="DY30" s="143">
        <f t="shared" si="50"/>
        <v>0</v>
      </c>
      <c r="DZ30" s="143">
        <f t="shared" si="51"/>
        <v>0</v>
      </c>
      <c r="EA30" s="143">
        <f t="shared" ref="EA30:EL30" si="198">AR30*CK$2/($H30/50)^2</f>
        <v>0</v>
      </c>
      <c r="EB30" s="143">
        <f t="shared" si="198"/>
        <v>0</v>
      </c>
      <c r="EC30" s="143">
        <f t="shared" si="198"/>
        <v>0</v>
      </c>
      <c r="ED30" s="143">
        <f t="shared" si="198"/>
        <v>0</v>
      </c>
      <c r="EE30" s="143">
        <f t="shared" si="198"/>
        <v>0</v>
      </c>
      <c r="EF30" s="143">
        <f t="shared" si="198"/>
        <v>0</v>
      </c>
      <c r="EG30" s="143">
        <f t="shared" si="198"/>
        <v>0</v>
      </c>
      <c r="EH30" s="143">
        <f t="shared" si="198"/>
        <v>0</v>
      </c>
      <c r="EI30" s="143">
        <f t="shared" si="198"/>
        <v>0</v>
      </c>
      <c r="EJ30" s="143">
        <f t="shared" si="198"/>
        <v>0</v>
      </c>
      <c r="EK30" s="143">
        <f t="shared" si="198"/>
        <v>0</v>
      </c>
      <c r="EL30" s="143">
        <f t="shared" si="198"/>
        <v>0</v>
      </c>
    </row>
    <row r="31">
      <c r="A31" s="149" t="s">
        <v>87</v>
      </c>
      <c r="B31" s="132">
        <f t="shared" si="10"/>
        <v>0</v>
      </c>
      <c r="C31" s="148"/>
      <c r="D31" s="134">
        <f t="shared" si="11"/>
        <v>0</v>
      </c>
      <c r="E31" s="135">
        <f t="shared" si="12"/>
        <v>0</v>
      </c>
      <c r="F31" s="132">
        <f t="shared" si="13"/>
        <v>0</v>
      </c>
      <c r="G31" s="136">
        <f t="shared" si="14"/>
        <v>0</v>
      </c>
      <c r="H31" s="137">
        <v>100.0</v>
      </c>
      <c r="I31" s="137" t="str">
        <f t="shared" si="132"/>
        <v>Compound Base</v>
      </c>
      <c r="J31" s="139">
        <f t="shared" si="15"/>
        <v>0</v>
      </c>
      <c r="K31" s="140">
        <f t="shared" si="16"/>
        <v>97</v>
      </c>
      <c r="L31" s="139">
        <v>400.0</v>
      </c>
      <c r="M31" s="139">
        <v>2500.0</v>
      </c>
      <c r="N31" s="139">
        <v>4.0</v>
      </c>
      <c r="O31" s="139">
        <v>4.0</v>
      </c>
      <c r="P31" s="141"/>
      <c r="Q31" s="141"/>
      <c r="R31" s="141"/>
      <c r="S31" s="139">
        <v>1.0</v>
      </c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39">
        <v>2.0</v>
      </c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2"/>
      <c r="BE31" s="143">
        <f t="shared" si="17"/>
        <v>0</v>
      </c>
      <c r="BF31" s="143">
        <f t="shared" si="18"/>
        <v>0</v>
      </c>
      <c r="BG31" s="143">
        <f t="shared" ref="BG31:BT31" si="199">$G31*N31*IF($H31&gt;50,18,36)+$F31*N31*IF($H31&gt;50,4,8)+$E31*N31</f>
        <v>0</v>
      </c>
      <c r="BH31" s="143">
        <f t="shared" si="199"/>
        <v>0</v>
      </c>
      <c r="BI31" s="143">
        <f t="shared" si="199"/>
        <v>0</v>
      </c>
      <c r="BJ31" s="143">
        <f t="shared" si="199"/>
        <v>0</v>
      </c>
      <c r="BK31" s="143">
        <f t="shared" si="199"/>
        <v>0</v>
      </c>
      <c r="BL31" s="143">
        <f t="shared" si="199"/>
        <v>0</v>
      </c>
      <c r="BM31" s="143">
        <f t="shared" si="199"/>
        <v>0</v>
      </c>
      <c r="BN31" s="143">
        <f t="shared" si="199"/>
        <v>0</v>
      </c>
      <c r="BO31" s="143">
        <f t="shared" si="199"/>
        <v>0</v>
      </c>
      <c r="BP31" s="143">
        <f t="shared" si="199"/>
        <v>0</v>
      </c>
      <c r="BQ31" s="143">
        <f t="shared" si="199"/>
        <v>0</v>
      </c>
      <c r="BR31" s="143">
        <f t="shared" si="199"/>
        <v>0</v>
      </c>
      <c r="BS31" s="143">
        <f t="shared" si="199"/>
        <v>0</v>
      </c>
      <c r="BT31" s="143">
        <f t="shared" si="199"/>
        <v>0</v>
      </c>
      <c r="BU31" s="143">
        <f t="shared" si="20"/>
        <v>0</v>
      </c>
      <c r="BV31" s="143">
        <f t="shared" si="21"/>
        <v>0</v>
      </c>
      <c r="BW31" s="143">
        <f t="shared" ref="BW31:BX31" si="200">$G31*AD31*IF($H31&gt;50,18,36)+$F31*AD31*IF($H31&gt;50,4,8)+$E31*AD31</f>
        <v>0</v>
      </c>
      <c r="BX31" s="143">
        <f t="shared" si="200"/>
        <v>0</v>
      </c>
      <c r="BY31" s="143">
        <f t="shared" si="23"/>
        <v>0</v>
      </c>
      <c r="BZ31" s="143">
        <f t="shared" si="24"/>
        <v>0</v>
      </c>
      <c r="CA31" s="143">
        <f t="shared" si="25"/>
        <v>0</v>
      </c>
      <c r="CB31" s="143">
        <f t="shared" si="26"/>
        <v>0</v>
      </c>
      <c r="CC31" s="143">
        <f t="shared" si="27"/>
        <v>0</v>
      </c>
      <c r="CD31" s="143">
        <f t="shared" si="28"/>
        <v>0</v>
      </c>
      <c r="CE31" s="143">
        <f t="shared" si="29"/>
        <v>0</v>
      </c>
      <c r="CF31" s="143">
        <f t="shared" si="30"/>
        <v>0</v>
      </c>
      <c r="CG31" s="143">
        <f t="shared" si="31"/>
        <v>0</v>
      </c>
      <c r="CH31" s="143">
        <f t="shared" si="32"/>
        <v>0</v>
      </c>
      <c r="CI31" s="143">
        <f t="shared" si="33"/>
        <v>0</v>
      </c>
      <c r="CJ31" s="143">
        <f t="shared" si="34"/>
        <v>0</v>
      </c>
      <c r="CK31" s="143">
        <f t="shared" ref="CK31:CV31" si="201">$G31*AR31*IF($H31&gt;50,18,36)+$F31*AR31*IF($H31&gt;50,4,8)+$E31*AR31</f>
        <v>0</v>
      </c>
      <c r="CL31" s="143">
        <f t="shared" si="201"/>
        <v>0</v>
      </c>
      <c r="CM31" s="143">
        <f t="shared" si="201"/>
        <v>0</v>
      </c>
      <c r="CN31" s="143">
        <f t="shared" si="201"/>
        <v>0</v>
      </c>
      <c r="CO31" s="143">
        <f t="shared" si="201"/>
        <v>0</v>
      </c>
      <c r="CP31" s="143">
        <f t="shared" si="201"/>
        <v>0</v>
      </c>
      <c r="CQ31" s="143">
        <f t="shared" si="201"/>
        <v>0</v>
      </c>
      <c r="CR31" s="143">
        <f t="shared" si="201"/>
        <v>0</v>
      </c>
      <c r="CS31" s="143">
        <f t="shared" si="201"/>
        <v>0</v>
      </c>
      <c r="CT31" s="143">
        <f t="shared" si="201"/>
        <v>0</v>
      </c>
      <c r="CU31" s="143">
        <f t="shared" si="201"/>
        <v>0</v>
      </c>
      <c r="CV31" s="143">
        <f t="shared" si="201"/>
        <v>0</v>
      </c>
      <c r="CW31" s="143"/>
      <c r="CX31" s="143">
        <f t="shared" ref="CX31:DJ31" si="202">O31*BH$2/($H31/50)^2</f>
        <v>4</v>
      </c>
      <c r="CY31" s="143">
        <f t="shared" si="202"/>
        <v>0</v>
      </c>
      <c r="CZ31" s="143">
        <f t="shared" si="202"/>
        <v>0</v>
      </c>
      <c r="DA31" s="143">
        <f t="shared" si="202"/>
        <v>0</v>
      </c>
      <c r="DB31" s="143">
        <f t="shared" si="202"/>
        <v>12.5</v>
      </c>
      <c r="DC31" s="143">
        <f t="shared" si="202"/>
        <v>0</v>
      </c>
      <c r="DD31" s="143">
        <f t="shared" si="202"/>
        <v>0</v>
      </c>
      <c r="DE31" s="143">
        <f t="shared" si="202"/>
        <v>0</v>
      </c>
      <c r="DF31" s="143">
        <f t="shared" si="202"/>
        <v>0</v>
      </c>
      <c r="DG31" s="143">
        <f t="shared" si="202"/>
        <v>0</v>
      </c>
      <c r="DH31" s="143">
        <f t="shared" si="202"/>
        <v>0</v>
      </c>
      <c r="DI31" s="143">
        <f t="shared" si="202"/>
        <v>0</v>
      </c>
      <c r="DJ31" s="143">
        <f t="shared" si="202"/>
        <v>0</v>
      </c>
      <c r="DK31" s="143">
        <f t="shared" si="37"/>
        <v>0</v>
      </c>
      <c r="DL31" s="143">
        <f t="shared" si="38"/>
        <v>0</v>
      </c>
      <c r="DM31" s="143">
        <f t="shared" ref="DM31:DN31" si="203">AD31*BW$2/($H31/50)^2</f>
        <v>15</v>
      </c>
      <c r="DN31" s="143">
        <f t="shared" si="203"/>
        <v>0</v>
      </c>
      <c r="DO31" s="143">
        <f t="shared" si="40"/>
        <v>0</v>
      </c>
      <c r="DP31" s="143">
        <f t="shared" si="41"/>
        <v>0</v>
      </c>
      <c r="DQ31" s="143">
        <f t="shared" si="42"/>
        <v>0</v>
      </c>
      <c r="DR31" s="143">
        <f t="shared" si="43"/>
        <v>0</v>
      </c>
      <c r="DS31" s="143">
        <f t="shared" si="44"/>
        <v>0</v>
      </c>
      <c r="DT31" s="143">
        <f t="shared" si="45"/>
        <v>0</v>
      </c>
      <c r="DU31" s="143">
        <f t="shared" si="46"/>
        <v>0</v>
      </c>
      <c r="DV31" s="143">
        <f t="shared" si="47"/>
        <v>0</v>
      </c>
      <c r="DW31" s="143">
        <f t="shared" si="48"/>
        <v>0</v>
      </c>
      <c r="DX31" s="143">
        <f t="shared" si="49"/>
        <v>0</v>
      </c>
      <c r="DY31" s="143">
        <f t="shared" si="50"/>
        <v>0</v>
      </c>
      <c r="DZ31" s="143">
        <f t="shared" si="51"/>
        <v>0</v>
      </c>
      <c r="EA31" s="143">
        <f t="shared" ref="EA31:EL31" si="204">AR31*CK$2/($H31/50)^2</f>
        <v>0</v>
      </c>
      <c r="EB31" s="143">
        <f t="shared" si="204"/>
        <v>0</v>
      </c>
      <c r="EC31" s="143">
        <f t="shared" si="204"/>
        <v>0</v>
      </c>
      <c r="ED31" s="143">
        <f t="shared" si="204"/>
        <v>0</v>
      </c>
      <c r="EE31" s="143">
        <f t="shared" si="204"/>
        <v>0</v>
      </c>
      <c r="EF31" s="143">
        <f t="shared" si="204"/>
        <v>0</v>
      </c>
      <c r="EG31" s="143">
        <f t="shared" si="204"/>
        <v>0</v>
      </c>
      <c r="EH31" s="143">
        <f t="shared" si="204"/>
        <v>0</v>
      </c>
      <c r="EI31" s="143">
        <f t="shared" si="204"/>
        <v>0</v>
      </c>
      <c r="EJ31" s="143">
        <f t="shared" si="204"/>
        <v>0</v>
      </c>
      <c r="EK31" s="143">
        <f t="shared" si="204"/>
        <v>0</v>
      </c>
      <c r="EL31" s="143">
        <f t="shared" si="204"/>
        <v>0</v>
      </c>
    </row>
    <row r="32">
      <c r="A32" s="149" t="s">
        <v>88</v>
      </c>
      <c r="B32" s="132">
        <f t="shared" si="10"/>
        <v>0</v>
      </c>
      <c r="C32" s="148"/>
      <c r="D32" s="134">
        <f t="shared" si="11"/>
        <v>0</v>
      </c>
      <c r="E32" s="135">
        <f t="shared" si="12"/>
        <v>0</v>
      </c>
      <c r="F32" s="132">
        <f t="shared" si="13"/>
        <v>0</v>
      </c>
      <c r="G32" s="136">
        <f t="shared" si="14"/>
        <v>0</v>
      </c>
      <c r="H32" s="137">
        <v>100.0</v>
      </c>
      <c r="I32" s="137" t="str">
        <f t="shared" si="132"/>
        <v>Compound Base</v>
      </c>
      <c r="J32" s="139">
        <f t="shared" si="15"/>
        <v>0</v>
      </c>
      <c r="K32" s="140">
        <f t="shared" si="16"/>
        <v>83</v>
      </c>
      <c r="L32" s="139">
        <v>100.0</v>
      </c>
      <c r="M32" s="139">
        <v>500.0</v>
      </c>
      <c r="N32" s="139">
        <v>2.0</v>
      </c>
      <c r="O32" s="141"/>
      <c r="P32" s="139"/>
      <c r="Q32" s="139">
        <v>1.0</v>
      </c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39"/>
      <c r="AG32" s="139"/>
      <c r="AH32" s="139"/>
      <c r="AI32" s="141"/>
      <c r="AJ32" s="141"/>
      <c r="AK32" s="141"/>
      <c r="AL32" s="141"/>
      <c r="AM32" s="141"/>
      <c r="AN32" s="141"/>
      <c r="AO32" s="141"/>
      <c r="AP32" s="141"/>
      <c r="AQ32" s="139">
        <v>2.0</v>
      </c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2"/>
      <c r="BE32" s="143">
        <f t="shared" si="17"/>
        <v>0</v>
      </c>
      <c r="BF32" s="143">
        <f t="shared" si="18"/>
        <v>0</v>
      </c>
      <c r="BG32" s="143">
        <f t="shared" ref="BG32:BT32" si="205">$G32*N32*IF($H32&gt;50,18,36)+$F32*N32*IF($H32&gt;50,4,8)+$E32*N32</f>
        <v>0</v>
      </c>
      <c r="BH32" s="143">
        <f t="shared" si="205"/>
        <v>0</v>
      </c>
      <c r="BI32" s="143">
        <f t="shared" si="205"/>
        <v>0</v>
      </c>
      <c r="BJ32" s="143">
        <f t="shared" si="205"/>
        <v>0</v>
      </c>
      <c r="BK32" s="143">
        <f t="shared" si="205"/>
        <v>0</v>
      </c>
      <c r="BL32" s="143">
        <f t="shared" si="205"/>
        <v>0</v>
      </c>
      <c r="BM32" s="143">
        <f t="shared" si="205"/>
        <v>0</v>
      </c>
      <c r="BN32" s="143">
        <f t="shared" si="205"/>
        <v>0</v>
      </c>
      <c r="BO32" s="143">
        <f t="shared" si="205"/>
        <v>0</v>
      </c>
      <c r="BP32" s="143">
        <f t="shared" si="205"/>
        <v>0</v>
      </c>
      <c r="BQ32" s="143">
        <f t="shared" si="205"/>
        <v>0</v>
      </c>
      <c r="BR32" s="143">
        <f t="shared" si="205"/>
        <v>0</v>
      </c>
      <c r="BS32" s="143">
        <f t="shared" si="205"/>
        <v>0</v>
      </c>
      <c r="BT32" s="143">
        <f t="shared" si="205"/>
        <v>0</v>
      </c>
      <c r="BU32" s="143">
        <f t="shared" si="20"/>
        <v>0</v>
      </c>
      <c r="BV32" s="143">
        <f t="shared" si="21"/>
        <v>0</v>
      </c>
      <c r="BW32" s="143">
        <f t="shared" ref="BW32:BX32" si="206">$G32*AD32*IF($H32&gt;50,18,36)+$F32*AD32*IF($H32&gt;50,4,8)+$E32*AD32</f>
        <v>0</v>
      </c>
      <c r="BX32" s="143">
        <f t="shared" si="206"/>
        <v>0</v>
      </c>
      <c r="BY32" s="143">
        <f t="shared" si="23"/>
        <v>0</v>
      </c>
      <c r="BZ32" s="143">
        <f t="shared" si="24"/>
        <v>0</v>
      </c>
      <c r="CA32" s="143">
        <f t="shared" si="25"/>
        <v>0</v>
      </c>
      <c r="CB32" s="143">
        <f t="shared" si="26"/>
        <v>0</v>
      </c>
      <c r="CC32" s="143">
        <f t="shared" si="27"/>
        <v>0</v>
      </c>
      <c r="CD32" s="143">
        <f t="shared" si="28"/>
        <v>0</v>
      </c>
      <c r="CE32" s="143">
        <f t="shared" si="29"/>
        <v>0</v>
      </c>
      <c r="CF32" s="143">
        <f t="shared" si="30"/>
        <v>0</v>
      </c>
      <c r="CG32" s="143">
        <f t="shared" si="31"/>
        <v>0</v>
      </c>
      <c r="CH32" s="143">
        <f t="shared" si="32"/>
        <v>0</v>
      </c>
      <c r="CI32" s="143">
        <f t="shared" si="33"/>
        <v>0</v>
      </c>
      <c r="CJ32" s="143">
        <f t="shared" si="34"/>
        <v>0</v>
      </c>
      <c r="CK32" s="143">
        <f t="shared" ref="CK32:CV32" si="207">$G32*AR32*IF($H32&gt;50,18,36)+$F32*AR32*IF($H32&gt;50,4,8)+$E32*AR32</f>
        <v>0</v>
      </c>
      <c r="CL32" s="143">
        <f t="shared" si="207"/>
        <v>0</v>
      </c>
      <c r="CM32" s="143">
        <f t="shared" si="207"/>
        <v>0</v>
      </c>
      <c r="CN32" s="143">
        <f t="shared" si="207"/>
        <v>0</v>
      </c>
      <c r="CO32" s="143">
        <f t="shared" si="207"/>
        <v>0</v>
      </c>
      <c r="CP32" s="143">
        <f t="shared" si="207"/>
        <v>0</v>
      </c>
      <c r="CQ32" s="143">
        <f t="shared" si="207"/>
        <v>0</v>
      </c>
      <c r="CR32" s="143">
        <f t="shared" si="207"/>
        <v>0</v>
      </c>
      <c r="CS32" s="143">
        <f t="shared" si="207"/>
        <v>0</v>
      </c>
      <c r="CT32" s="143">
        <f t="shared" si="207"/>
        <v>0</v>
      </c>
      <c r="CU32" s="143">
        <f t="shared" si="207"/>
        <v>0</v>
      </c>
      <c r="CV32" s="143">
        <f t="shared" si="207"/>
        <v>0</v>
      </c>
      <c r="CW32" s="143"/>
      <c r="CX32" s="143">
        <f t="shared" ref="CX32:DJ32" si="208">O32*BH$2/($H32/50)^2</f>
        <v>0</v>
      </c>
      <c r="CY32" s="143">
        <f t="shared" si="208"/>
        <v>0</v>
      </c>
      <c r="CZ32" s="143">
        <f t="shared" si="208"/>
        <v>2.5</v>
      </c>
      <c r="DA32" s="143">
        <f t="shared" si="208"/>
        <v>0</v>
      </c>
      <c r="DB32" s="143">
        <f t="shared" si="208"/>
        <v>0</v>
      </c>
      <c r="DC32" s="143">
        <f t="shared" si="208"/>
        <v>0</v>
      </c>
      <c r="DD32" s="143">
        <f t="shared" si="208"/>
        <v>0</v>
      </c>
      <c r="DE32" s="143">
        <f t="shared" si="208"/>
        <v>0</v>
      </c>
      <c r="DF32" s="143">
        <f t="shared" si="208"/>
        <v>0</v>
      </c>
      <c r="DG32" s="143">
        <f t="shared" si="208"/>
        <v>0</v>
      </c>
      <c r="DH32" s="143">
        <f t="shared" si="208"/>
        <v>0</v>
      </c>
      <c r="DI32" s="143">
        <f t="shared" si="208"/>
        <v>0</v>
      </c>
      <c r="DJ32" s="143">
        <f t="shared" si="208"/>
        <v>0</v>
      </c>
      <c r="DK32" s="143">
        <f t="shared" si="37"/>
        <v>0</v>
      </c>
      <c r="DL32" s="143">
        <f t="shared" si="38"/>
        <v>0</v>
      </c>
      <c r="DM32" s="143">
        <f t="shared" ref="DM32:DN32" si="209">AD32*BW$2/($H32/50)^2</f>
        <v>0</v>
      </c>
      <c r="DN32" s="143">
        <f t="shared" si="209"/>
        <v>0</v>
      </c>
      <c r="DO32" s="143">
        <f t="shared" si="40"/>
        <v>0</v>
      </c>
      <c r="DP32" s="143">
        <f t="shared" si="41"/>
        <v>0</v>
      </c>
      <c r="DQ32" s="143">
        <f t="shared" si="42"/>
        <v>0</v>
      </c>
      <c r="DR32" s="143">
        <f t="shared" si="43"/>
        <v>0</v>
      </c>
      <c r="DS32" s="143">
        <f t="shared" si="44"/>
        <v>0</v>
      </c>
      <c r="DT32" s="143">
        <f t="shared" si="45"/>
        <v>0</v>
      </c>
      <c r="DU32" s="143">
        <f t="shared" si="46"/>
        <v>0</v>
      </c>
      <c r="DV32" s="143">
        <f t="shared" si="47"/>
        <v>0</v>
      </c>
      <c r="DW32" s="143">
        <f t="shared" si="48"/>
        <v>0</v>
      </c>
      <c r="DX32" s="143">
        <f t="shared" si="49"/>
        <v>15</v>
      </c>
      <c r="DY32" s="143">
        <f t="shared" si="50"/>
        <v>0</v>
      </c>
      <c r="DZ32" s="143">
        <f t="shared" si="51"/>
        <v>0</v>
      </c>
      <c r="EA32" s="143">
        <f t="shared" ref="EA32:EL32" si="210">AR32*CK$2/($H32/50)^2</f>
        <v>0</v>
      </c>
      <c r="EB32" s="143">
        <f t="shared" si="210"/>
        <v>0</v>
      </c>
      <c r="EC32" s="143">
        <f t="shared" si="210"/>
        <v>0</v>
      </c>
      <c r="ED32" s="143">
        <f t="shared" si="210"/>
        <v>0</v>
      </c>
      <c r="EE32" s="143">
        <f t="shared" si="210"/>
        <v>0</v>
      </c>
      <c r="EF32" s="143">
        <f t="shared" si="210"/>
        <v>0</v>
      </c>
      <c r="EG32" s="143">
        <f t="shared" si="210"/>
        <v>0</v>
      </c>
      <c r="EH32" s="143">
        <f t="shared" si="210"/>
        <v>0</v>
      </c>
      <c r="EI32" s="143">
        <f t="shared" si="210"/>
        <v>0</v>
      </c>
      <c r="EJ32" s="143">
        <f t="shared" si="210"/>
        <v>0</v>
      </c>
      <c r="EK32" s="143">
        <f t="shared" si="210"/>
        <v>0</v>
      </c>
      <c r="EL32" s="143">
        <f t="shared" si="210"/>
        <v>0</v>
      </c>
    </row>
    <row r="33">
      <c r="A33" s="149" t="s">
        <v>89</v>
      </c>
      <c r="B33" s="132">
        <f t="shared" si="10"/>
        <v>0</v>
      </c>
      <c r="C33" s="148"/>
      <c r="D33" s="134">
        <f t="shared" si="11"/>
        <v>0</v>
      </c>
      <c r="E33" s="135">
        <f t="shared" si="12"/>
        <v>0</v>
      </c>
      <c r="F33" s="132">
        <f t="shared" si="13"/>
        <v>0</v>
      </c>
      <c r="G33" s="136">
        <f t="shared" si="14"/>
        <v>0</v>
      </c>
      <c r="H33" s="137">
        <v>100.0</v>
      </c>
      <c r="I33" s="137" t="str">
        <f t="shared" si="132"/>
        <v>Compound Base</v>
      </c>
      <c r="J33" s="139">
        <f t="shared" si="15"/>
        <v>0</v>
      </c>
      <c r="K33" s="140">
        <f t="shared" si="16"/>
        <v>108</v>
      </c>
      <c r="L33" s="139">
        <v>300.0</v>
      </c>
      <c r="M33" s="139">
        <v>1500.0</v>
      </c>
      <c r="N33" s="139">
        <v>4.0</v>
      </c>
      <c r="O33" s="141"/>
      <c r="P33" s="141"/>
      <c r="Q33" s="141"/>
      <c r="R33" s="141"/>
      <c r="S33" s="139">
        <v>1.0</v>
      </c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39"/>
      <c r="AG33" s="139"/>
      <c r="AH33" s="139"/>
      <c r="AI33" s="141"/>
      <c r="AJ33" s="141"/>
      <c r="AK33" s="141"/>
      <c r="AL33" s="141"/>
      <c r="AM33" s="141"/>
      <c r="AN33" s="141"/>
      <c r="AO33" s="141"/>
      <c r="AP33" s="141"/>
      <c r="AQ33" s="139">
        <v>4.0</v>
      </c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2"/>
      <c r="BE33" s="143">
        <f t="shared" si="17"/>
        <v>0</v>
      </c>
      <c r="BF33" s="143">
        <f t="shared" si="18"/>
        <v>0</v>
      </c>
      <c r="BG33" s="143">
        <f t="shared" ref="BG33:BT33" si="211">$G33*N33*IF($H33&gt;50,18,36)+$F33*N33*IF($H33&gt;50,4,8)+$E33*N33</f>
        <v>0</v>
      </c>
      <c r="BH33" s="143">
        <f t="shared" si="211"/>
        <v>0</v>
      </c>
      <c r="BI33" s="143">
        <f t="shared" si="211"/>
        <v>0</v>
      </c>
      <c r="BJ33" s="143">
        <f t="shared" si="211"/>
        <v>0</v>
      </c>
      <c r="BK33" s="143">
        <f t="shared" si="211"/>
        <v>0</v>
      </c>
      <c r="BL33" s="143">
        <f t="shared" si="211"/>
        <v>0</v>
      </c>
      <c r="BM33" s="143">
        <f t="shared" si="211"/>
        <v>0</v>
      </c>
      <c r="BN33" s="143">
        <f t="shared" si="211"/>
        <v>0</v>
      </c>
      <c r="BO33" s="143">
        <f t="shared" si="211"/>
        <v>0</v>
      </c>
      <c r="BP33" s="143">
        <f t="shared" si="211"/>
        <v>0</v>
      </c>
      <c r="BQ33" s="143">
        <f t="shared" si="211"/>
        <v>0</v>
      </c>
      <c r="BR33" s="143">
        <f t="shared" si="211"/>
        <v>0</v>
      </c>
      <c r="BS33" s="143">
        <f t="shared" si="211"/>
        <v>0</v>
      </c>
      <c r="BT33" s="143">
        <f t="shared" si="211"/>
        <v>0</v>
      </c>
      <c r="BU33" s="143">
        <f t="shared" si="20"/>
        <v>0</v>
      </c>
      <c r="BV33" s="143">
        <f t="shared" si="21"/>
        <v>0</v>
      </c>
      <c r="BW33" s="143">
        <f t="shared" ref="BW33:BX33" si="212">$G33*AD33*IF($H33&gt;50,18,36)+$F33*AD33*IF($H33&gt;50,4,8)+$E33*AD33</f>
        <v>0</v>
      </c>
      <c r="BX33" s="143">
        <f t="shared" si="212"/>
        <v>0</v>
      </c>
      <c r="BY33" s="143">
        <f t="shared" si="23"/>
        <v>0</v>
      </c>
      <c r="BZ33" s="143">
        <f t="shared" si="24"/>
        <v>0</v>
      </c>
      <c r="CA33" s="143">
        <f t="shared" si="25"/>
        <v>0</v>
      </c>
      <c r="CB33" s="143">
        <f t="shared" si="26"/>
        <v>0</v>
      </c>
      <c r="CC33" s="143">
        <f t="shared" si="27"/>
        <v>0</v>
      </c>
      <c r="CD33" s="143">
        <f t="shared" si="28"/>
        <v>0</v>
      </c>
      <c r="CE33" s="143">
        <f t="shared" si="29"/>
        <v>0</v>
      </c>
      <c r="CF33" s="143">
        <f t="shared" si="30"/>
        <v>0</v>
      </c>
      <c r="CG33" s="143">
        <f t="shared" si="31"/>
        <v>0</v>
      </c>
      <c r="CH33" s="143">
        <f t="shared" si="32"/>
        <v>0</v>
      </c>
      <c r="CI33" s="143">
        <f t="shared" si="33"/>
        <v>0</v>
      </c>
      <c r="CJ33" s="143">
        <f t="shared" si="34"/>
        <v>0</v>
      </c>
      <c r="CK33" s="143">
        <f t="shared" ref="CK33:CV33" si="213">$G33*AR33*IF($H33&gt;50,18,36)+$F33*AR33*IF($H33&gt;50,4,8)+$E33*AR33</f>
        <v>0</v>
      </c>
      <c r="CL33" s="143">
        <f t="shared" si="213"/>
        <v>0</v>
      </c>
      <c r="CM33" s="143">
        <f t="shared" si="213"/>
        <v>0</v>
      </c>
      <c r="CN33" s="143">
        <f t="shared" si="213"/>
        <v>0</v>
      </c>
      <c r="CO33" s="143">
        <f t="shared" si="213"/>
        <v>0</v>
      </c>
      <c r="CP33" s="143">
        <f t="shared" si="213"/>
        <v>0</v>
      </c>
      <c r="CQ33" s="143">
        <f t="shared" si="213"/>
        <v>0</v>
      </c>
      <c r="CR33" s="143">
        <f t="shared" si="213"/>
        <v>0</v>
      </c>
      <c r="CS33" s="143">
        <f t="shared" si="213"/>
        <v>0</v>
      </c>
      <c r="CT33" s="143">
        <f t="shared" si="213"/>
        <v>0</v>
      </c>
      <c r="CU33" s="143">
        <f t="shared" si="213"/>
        <v>0</v>
      </c>
      <c r="CV33" s="143">
        <f t="shared" si="213"/>
        <v>0</v>
      </c>
      <c r="CW33" s="143"/>
      <c r="CX33" s="143">
        <f t="shared" ref="CX33:DJ33" si="214">O33*BH$2/($H33/50)^2</f>
        <v>0</v>
      </c>
      <c r="CY33" s="143">
        <f t="shared" si="214"/>
        <v>0</v>
      </c>
      <c r="CZ33" s="143">
        <f t="shared" si="214"/>
        <v>0</v>
      </c>
      <c r="DA33" s="143">
        <f t="shared" si="214"/>
        <v>0</v>
      </c>
      <c r="DB33" s="143">
        <f t="shared" si="214"/>
        <v>12.5</v>
      </c>
      <c r="DC33" s="143">
        <f t="shared" si="214"/>
        <v>0</v>
      </c>
      <c r="DD33" s="143">
        <f t="shared" si="214"/>
        <v>0</v>
      </c>
      <c r="DE33" s="143">
        <f t="shared" si="214"/>
        <v>0</v>
      </c>
      <c r="DF33" s="143">
        <f t="shared" si="214"/>
        <v>0</v>
      </c>
      <c r="DG33" s="143">
        <f t="shared" si="214"/>
        <v>0</v>
      </c>
      <c r="DH33" s="143">
        <f t="shared" si="214"/>
        <v>0</v>
      </c>
      <c r="DI33" s="143">
        <f t="shared" si="214"/>
        <v>0</v>
      </c>
      <c r="DJ33" s="143">
        <f t="shared" si="214"/>
        <v>0</v>
      </c>
      <c r="DK33" s="143">
        <f t="shared" si="37"/>
        <v>0</v>
      </c>
      <c r="DL33" s="143">
        <f t="shared" si="38"/>
        <v>0</v>
      </c>
      <c r="DM33" s="143">
        <f t="shared" ref="DM33:DN33" si="215">AD33*BW$2/($H33/50)^2</f>
        <v>0</v>
      </c>
      <c r="DN33" s="143">
        <f t="shared" si="215"/>
        <v>0</v>
      </c>
      <c r="DO33" s="143">
        <f t="shared" si="40"/>
        <v>0</v>
      </c>
      <c r="DP33" s="143">
        <f t="shared" si="41"/>
        <v>0</v>
      </c>
      <c r="DQ33" s="143">
        <f t="shared" si="42"/>
        <v>0</v>
      </c>
      <c r="DR33" s="143">
        <f t="shared" si="43"/>
        <v>0</v>
      </c>
      <c r="DS33" s="143">
        <f t="shared" si="44"/>
        <v>0</v>
      </c>
      <c r="DT33" s="143">
        <f t="shared" si="45"/>
        <v>0</v>
      </c>
      <c r="DU33" s="143">
        <f t="shared" si="46"/>
        <v>0</v>
      </c>
      <c r="DV33" s="143">
        <f t="shared" si="47"/>
        <v>0</v>
      </c>
      <c r="DW33" s="143">
        <f t="shared" si="48"/>
        <v>0</v>
      </c>
      <c r="DX33" s="143">
        <f t="shared" si="49"/>
        <v>30</v>
      </c>
      <c r="DY33" s="143">
        <f t="shared" si="50"/>
        <v>0</v>
      </c>
      <c r="DZ33" s="143">
        <f t="shared" si="51"/>
        <v>0</v>
      </c>
      <c r="EA33" s="143">
        <f t="shared" ref="EA33:EL33" si="216">AR33*CK$2/($H33/50)^2</f>
        <v>0</v>
      </c>
      <c r="EB33" s="143">
        <f t="shared" si="216"/>
        <v>0</v>
      </c>
      <c r="EC33" s="143">
        <f t="shared" si="216"/>
        <v>0</v>
      </c>
      <c r="ED33" s="143">
        <f t="shared" si="216"/>
        <v>0</v>
      </c>
      <c r="EE33" s="143">
        <f t="shared" si="216"/>
        <v>0</v>
      </c>
      <c r="EF33" s="143">
        <f t="shared" si="216"/>
        <v>0</v>
      </c>
      <c r="EG33" s="143">
        <f t="shared" si="216"/>
        <v>0</v>
      </c>
      <c r="EH33" s="143">
        <f t="shared" si="216"/>
        <v>0</v>
      </c>
      <c r="EI33" s="143">
        <f t="shared" si="216"/>
        <v>0</v>
      </c>
      <c r="EJ33" s="143">
        <f t="shared" si="216"/>
        <v>0</v>
      </c>
      <c r="EK33" s="143">
        <f t="shared" si="216"/>
        <v>0</v>
      </c>
      <c r="EL33" s="143">
        <f t="shared" si="216"/>
        <v>0</v>
      </c>
    </row>
    <row r="34">
      <c r="A34" s="149" t="s">
        <v>90</v>
      </c>
      <c r="B34" s="132">
        <f t="shared" si="10"/>
        <v>0</v>
      </c>
      <c r="C34" s="148"/>
      <c r="D34" s="134">
        <f t="shared" si="11"/>
        <v>0</v>
      </c>
      <c r="E34" s="135">
        <f t="shared" si="12"/>
        <v>0</v>
      </c>
      <c r="F34" s="132">
        <f t="shared" si="13"/>
        <v>0</v>
      </c>
      <c r="G34" s="136">
        <f t="shared" si="14"/>
        <v>0</v>
      </c>
      <c r="H34" s="137">
        <v>100.0</v>
      </c>
      <c r="I34" s="137" t="str">
        <f t="shared" si="132"/>
        <v>Compound Base</v>
      </c>
      <c r="J34" s="139">
        <f t="shared" si="15"/>
        <v>0</v>
      </c>
      <c r="K34" s="140">
        <f t="shared" si="16"/>
        <v>90</v>
      </c>
      <c r="L34" s="139">
        <v>100.0</v>
      </c>
      <c r="M34" s="139">
        <v>500.0</v>
      </c>
      <c r="N34" s="139">
        <v>2.0</v>
      </c>
      <c r="O34" s="141"/>
      <c r="P34" s="139"/>
      <c r="Q34" s="139">
        <v>1.0</v>
      </c>
      <c r="R34" s="141"/>
      <c r="S34" s="141"/>
      <c r="T34" s="141"/>
      <c r="U34" s="141"/>
      <c r="V34" s="139"/>
      <c r="W34" s="141"/>
      <c r="X34" s="141"/>
      <c r="Y34" s="141"/>
      <c r="Z34" s="141"/>
      <c r="AA34" s="141"/>
      <c r="AB34" s="141"/>
      <c r="AC34" s="141"/>
      <c r="AD34" s="141"/>
      <c r="AE34" s="141"/>
      <c r="AF34" s="139"/>
      <c r="AG34" s="139"/>
      <c r="AH34" s="139"/>
      <c r="AI34" s="139">
        <v>1.0</v>
      </c>
      <c r="AJ34" s="141"/>
      <c r="AK34" s="141"/>
      <c r="AL34" s="141"/>
      <c r="AM34" s="141"/>
      <c r="AN34" s="141"/>
      <c r="AO34" s="141"/>
      <c r="AP34" s="141"/>
      <c r="AQ34" s="139">
        <v>2.0</v>
      </c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2"/>
      <c r="BE34" s="143">
        <f t="shared" si="17"/>
        <v>0</v>
      </c>
      <c r="BF34" s="143">
        <f t="shared" si="18"/>
        <v>0</v>
      </c>
      <c r="BG34" s="143">
        <f t="shared" ref="BG34:BT34" si="217">$G34*N34*IF($H34&gt;50,18,36)+$F34*N34*IF($H34&gt;50,4,8)+$E34*N34</f>
        <v>0</v>
      </c>
      <c r="BH34" s="143">
        <f t="shared" si="217"/>
        <v>0</v>
      </c>
      <c r="BI34" s="143">
        <f t="shared" si="217"/>
        <v>0</v>
      </c>
      <c r="BJ34" s="143">
        <f t="shared" si="217"/>
        <v>0</v>
      </c>
      <c r="BK34" s="143">
        <f t="shared" si="217"/>
        <v>0</v>
      </c>
      <c r="BL34" s="143">
        <f t="shared" si="217"/>
        <v>0</v>
      </c>
      <c r="BM34" s="143">
        <f t="shared" si="217"/>
        <v>0</v>
      </c>
      <c r="BN34" s="143">
        <f t="shared" si="217"/>
        <v>0</v>
      </c>
      <c r="BO34" s="143">
        <f t="shared" si="217"/>
        <v>0</v>
      </c>
      <c r="BP34" s="143">
        <f t="shared" si="217"/>
        <v>0</v>
      </c>
      <c r="BQ34" s="143">
        <f t="shared" si="217"/>
        <v>0</v>
      </c>
      <c r="BR34" s="143">
        <f t="shared" si="217"/>
        <v>0</v>
      </c>
      <c r="BS34" s="143">
        <f t="shared" si="217"/>
        <v>0</v>
      </c>
      <c r="BT34" s="143">
        <f t="shared" si="217"/>
        <v>0</v>
      </c>
      <c r="BU34" s="143">
        <f t="shared" si="20"/>
        <v>0</v>
      </c>
      <c r="BV34" s="143">
        <f t="shared" si="21"/>
        <v>0</v>
      </c>
      <c r="BW34" s="143">
        <f t="shared" ref="BW34:BX34" si="218">$G34*AD34*IF($H34&gt;50,18,36)+$F34*AD34*IF($H34&gt;50,4,8)+$E34*AD34</f>
        <v>0</v>
      </c>
      <c r="BX34" s="143">
        <f t="shared" si="218"/>
        <v>0</v>
      </c>
      <c r="BY34" s="143">
        <f t="shared" si="23"/>
        <v>0</v>
      </c>
      <c r="BZ34" s="143">
        <f t="shared" si="24"/>
        <v>0</v>
      </c>
      <c r="CA34" s="143">
        <f t="shared" si="25"/>
        <v>0</v>
      </c>
      <c r="CB34" s="143">
        <f t="shared" si="26"/>
        <v>0</v>
      </c>
      <c r="CC34" s="143">
        <f t="shared" si="27"/>
        <v>0</v>
      </c>
      <c r="CD34" s="143">
        <f t="shared" si="28"/>
        <v>0</v>
      </c>
      <c r="CE34" s="143">
        <f t="shared" si="29"/>
        <v>0</v>
      </c>
      <c r="CF34" s="143">
        <f t="shared" si="30"/>
        <v>0</v>
      </c>
      <c r="CG34" s="143">
        <f t="shared" si="31"/>
        <v>0</v>
      </c>
      <c r="CH34" s="143">
        <f t="shared" si="32"/>
        <v>0</v>
      </c>
      <c r="CI34" s="143">
        <f t="shared" si="33"/>
        <v>0</v>
      </c>
      <c r="CJ34" s="143">
        <f t="shared" si="34"/>
        <v>0</v>
      </c>
      <c r="CK34" s="143">
        <f t="shared" ref="CK34:CV34" si="219">$G34*AR34*IF($H34&gt;50,18,36)+$F34*AR34*IF($H34&gt;50,4,8)+$E34*AR34</f>
        <v>0</v>
      </c>
      <c r="CL34" s="143">
        <f t="shared" si="219"/>
        <v>0</v>
      </c>
      <c r="CM34" s="143">
        <f t="shared" si="219"/>
        <v>0</v>
      </c>
      <c r="CN34" s="143">
        <f t="shared" si="219"/>
        <v>0</v>
      </c>
      <c r="CO34" s="143">
        <f t="shared" si="219"/>
        <v>0</v>
      </c>
      <c r="CP34" s="143">
        <f t="shared" si="219"/>
        <v>0</v>
      </c>
      <c r="CQ34" s="143">
        <f t="shared" si="219"/>
        <v>0</v>
      </c>
      <c r="CR34" s="143">
        <f t="shared" si="219"/>
        <v>0</v>
      </c>
      <c r="CS34" s="143">
        <f t="shared" si="219"/>
        <v>0</v>
      </c>
      <c r="CT34" s="143">
        <f t="shared" si="219"/>
        <v>0</v>
      </c>
      <c r="CU34" s="143">
        <f t="shared" si="219"/>
        <v>0</v>
      </c>
      <c r="CV34" s="143">
        <f t="shared" si="219"/>
        <v>0</v>
      </c>
      <c r="CW34" s="143"/>
      <c r="CX34" s="143">
        <f t="shared" ref="CX34:DJ34" si="220">O34*BH$2/($H34/50)^2</f>
        <v>0</v>
      </c>
      <c r="CY34" s="143">
        <f t="shared" si="220"/>
        <v>0</v>
      </c>
      <c r="CZ34" s="143">
        <f t="shared" si="220"/>
        <v>2.5</v>
      </c>
      <c r="DA34" s="143">
        <f t="shared" si="220"/>
        <v>0</v>
      </c>
      <c r="DB34" s="143">
        <f t="shared" si="220"/>
        <v>0</v>
      </c>
      <c r="DC34" s="143">
        <f t="shared" si="220"/>
        <v>0</v>
      </c>
      <c r="DD34" s="143">
        <f t="shared" si="220"/>
        <v>0</v>
      </c>
      <c r="DE34" s="143">
        <f t="shared" si="220"/>
        <v>0</v>
      </c>
      <c r="DF34" s="143">
        <f t="shared" si="220"/>
        <v>0</v>
      </c>
      <c r="DG34" s="143">
        <f t="shared" si="220"/>
        <v>0</v>
      </c>
      <c r="DH34" s="143">
        <f t="shared" si="220"/>
        <v>0</v>
      </c>
      <c r="DI34" s="143">
        <f t="shared" si="220"/>
        <v>0</v>
      </c>
      <c r="DJ34" s="143">
        <f t="shared" si="220"/>
        <v>0</v>
      </c>
      <c r="DK34" s="143">
        <f t="shared" si="37"/>
        <v>0</v>
      </c>
      <c r="DL34" s="143">
        <f t="shared" si="38"/>
        <v>0</v>
      </c>
      <c r="DM34" s="143">
        <f t="shared" ref="DM34:DN34" si="221">AD34*BW$2/($H34/50)^2</f>
        <v>0</v>
      </c>
      <c r="DN34" s="143">
        <f t="shared" si="221"/>
        <v>0</v>
      </c>
      <c r="DO34" s="143">
        <f t="shared" si="40"/>
        <v>7.5</v>
      </c>
      <c r="DP34" s="143">
        <f t="shared" si="41"/>
        <v>0</v>
      </c>
      <c r="DQ34" s="143">
        <f t="shared" si="42"/>
        <v>0</v>
      </c>
      <c r="DR34" s="143">
        <f t="shared" si="43"/>
        <v>0</v>
      </c>
      <c r="DS34" s="143">
        <f t="shared" si="44"/>
        <v>0</v>
      </c>
      <c r="DT34" s="143">
        <f t="shared" si="45"/>
        <v>0</v>
      </c>
      <c r="DU34" s="143">
        <f t="shared" si="46"/>
        <v>0</v>
      </c>
      <c r="DV34" s="143">
        <f t="shared" si="47"/>
        <v>0</v>
      </c>
      <c r="DW34" s="143">
        <f t="shared" si="48"/>
        <v>0</v>
      </c>
      <c r="DX34" s="143">
        <f t="shared" si="49"/>
        <v>15</v>
      </c>
      <c r="DY34" s="143">
        <f t="shared" si="50"/>
        <v>0</v>
      </c>
      <c r="DZ34" s="143">
        <f t="shared" si="51"/>
        <v>0</v>
      </c>
      <c r="EA34" s="143">
        <f t="shared" ref="EA34:EL34" si="222">AR34*CK$2/($H34/50)^2</f>
        <v>0</v>
      </c>
      <c r="EB34" s="143">
        <f t="shared" si="222"/>
        <v>0</v>
      </c>
      <c r="EC34" s="143">
        <f t="shared" si="222"/>
        <v>0</v>
      </c>
      <c r="ED34" s="143">
        <f t="shared" si="222"/>
        <v>0</v>
      </c>
      <c r="EE34" s="143">
        <f t="shared" si="222"/>
        <v>0</v>
      </c>
      <c r="EF34" s="143">
        <f t="shared" si="222"/>
        <v>0</v>
      </c>
      <c r="EG34" s="143">
        <f t="shared" si="222"/>
        <v>0</v>
      </c>
      <c r="EH34" s="143">
        <f t="shared" si="222"/>
        <v>0</v>
      </c>
      <c r="EI34" s="143">
        <f t="shared" si="222"/>
        <v>0</v>
      </c>
      <c r="EJ34" s="143">
        <f t="shared" si="222"/>
        <v>0</v>
      </c>
      <c r="EK34" s="143">
        <f t="shared" si="222"/>
        <v>0</v>
      </c>
      <c r="EL34" s="143">
        <f t="shared" si="222"/>
        <v>0</v>
      </c>
    </row>
    <row r="35">
      <c r="A35" s="149" t="s">
        <v>91</v>
      </c>
      <c r="B35" s="132">
        <f t="shared" si="10"/>
        <v>0</v>
      </c>
      <c r="C35" s="148"/>
      <c r="D35" s="134">
        <f t="shared" si="11"/>
        <v>0</v>
      </c>
      <c r="E35" s="135">
        <f t="shared" si="12"/>
        <v>0</v>
      </c>
      <c r="F35" s="132">
        <f t="shared" si="13"/>
        <v>0</v>
      </c>
      <c r="G35" s="136">
        <f t="shared" si="14"/>
        <v>0</v>
      </c>
      <c r="H35" s="137">
        <v>100.0</v>
      </c>
      <c r="I35" s="137" t="str">
        <f t="shared" si="132"/>
        <v>Compound Base</v>
      </c>
      <c r="J35" s="139">
        <f t="shared" si="15"/>
        <v>0</v>
      </c>
      <c r="K35" s="140">
        <f t="shared" si="16"/>
        <v>115</v>
      </c>
      <c r="L35" s="139">
        <v>300.0</v>
      </c>
      <c r="M35" s="139">
        <v>1500.0</v>
      </c>
      <c r="N35" s="139">
        <v>4.0</v>
      </c>
      <c r="O35" s="141"/>
      <c r="P35" s="141"/>
      <c r="Q35" s="141"/>
      <c r="R35" s="141"/>
      <c r="S35" s="139">
        <v>1.0</v>
      </c>
      <c r="T35" s="141"/>
      <c r="U35" s="141"/>
      <c r="V35" s="139"/>
      <c r="W35" s="141"/>
      <c r="X35" s="141"/>
      <c r="Y35" s="141"/>
      <c r="Z35" s="141"/>
      <c r="AA35" s="141"/>
      <c r="AB35" s="141"/>
      <c r="AC35" s="141"/>
      <c r="AD35" s="141"/>
      <c r="AE35" s="141"/>
      <c r="AF35" s="139"/>
      <c r="AG35" s="139"/>
      <c r="AH35" s="139"/>
      <c r="AI35" s="139">
        <v>2.0</v>
      </c>
      <c r="AJ35" s="141"/>
      <c r="AK35" s="141"/>
      <c r="AL35" s="141"/>
      <c r="AM35" s="141"/>
      <c r="AN35" s="141"/>
      <c r="AO35" s="141"/>
      <c r="AP35" s="141"/>
      <c r="AQ35" s="139">
        <v>3.0</v>
      </c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2"/>
      <c r="BE35" s="143">
        <f t="shared" si="17"/>
        <v>0</v>
      </c>
      <c r="BF35" s="143">
        <f t="shared" si="18"/>
        <v>0</v>
      </c>
      <c r="BG35" s="143">
        <f t="shared" ref="BG35:BT35" si="223">$G35*N35*IF($H35&gt;50,18,36)+$F35*N35*IF($H35&gt;50,4,8)+$E35*N35</f>
        <v>0</v>
      </c>
      <c r="BH35" s="143">
        <f t="shared" si="223"/>
        <v>0</v>
      </c>
      <c r="BI35" s="143">
        <f t="shared" si="223"/>
        <v>0</v>
      </c>
      <c r="BJ35" s="143">
        <f t="shared" si="223"/>
        <v>0</v>
      </c>
      <c r="BK35" s="143">
        <f t="shared" si="223"/>
        <v>0</v>
      </c>
      <c r="BL35" s="143">
        <f t="shared" si="223"/>
        <v>0</v>
      </c>
      <c r="BM35" s="143">
        <f t="shared" si="223"/>
        <v>0</v>
      </c>
      <c r="BN35" s="143">
        <f t="shared" si="223"/>
        <v>0</v>
      </c>
      <c r="BO35" s="143">
        <f t="shared" si="223"/>
        <v>0</v>
      </c>
      <c r="BP35" s="143">
        <f t="shared" si="223"/>
        <v>0</v>
      </c>
      <c r="BQ35" s="143">
        <f t="shared" si="223"/>
        <v>0</v>
      </c>
      <c r="BR35" s="143">
        <f t="shared" si="223"/>
        <v>0</v>
      </c>
      <c r="BS35" s="143">
        <f t="shared" si="223"/>
        <v>0</v>
      </c>
      <c r="BT35" s="143">
        <f t="shared" si="223"/>
        <v>0</v>
      </c>
      <c r="BU35" s="143">
        <f t="shared" si="20"/>
        <v>0</v>
      </c>
      <c r="BV35" s="143">
        <f t="shared" si="21"/>
        <v>0</v>
      </c>
      <c r="BW35" s="143">
        <f t="shared" ref="BW35:BX35" si="224">$G35*AD35*IF($H35&gt;50,18,36)+$F35*AD35*IF($H35&gt;50,4,8)+$E35*AD35</f>
        <v>0</v>
      </c>
      <c r="BX35" s="143">
        <f t="shared" si="224"/>
        <v>0</v>
      </c>
      <c r="BY35" s="143">
        <f t="shared" si="23"/>
        <v>0</v>
      </c>
      <c r="BZ35" s="143">
        <f t="shared" si="24"/>
        <v>0</v>
      </c>
      <c r="CA35" s="143">
        <f t="shared" si="25"/>
        <v>0</v>
      </c>
      <c r="CB35" s="143">
        <f t="shared" si="26"/>
        <v>0</v>
      </c>
      <c r="CC35" s="143">
        <f t="shared" si="27"/>
        <v>0</v>
      </c>
      <c r="CD35" s="143">
        <f t="shared" si="28"/>
        <v>0</v>
      </c>
      <c r="CE35" s="143">
        <f t="shared" si="29"/>
        <v>0</v>
      </c>
      <c r="CF35" s="143">
        <f t="shared" si="30"/>
        <v>0</v>
      </c>
      <c r="CG35" s="143">
        <f t="shared" si="31"/>
        <v>0</v>
      </c>
      <c r="CH35" s="143">
        <f t="shared" si="32"/>
        <v>0</v>
      </c>
      <c r="CI35" s="143">
        <f t="shared" si="33"/>
        <v>0</v>
      </c>
      <c r="CJ35" s="143">
        <f t="shared" si="34"/>
        <v>0</v>
      </c>
      <c r="CK35" s="143">
        <f t="shared" ref="CK35:CV35" si="225">$G35*AR35*IF($H35&gt;50,18,36)+$F35*AR35*IF($H35&gt;50,4,8)+$E35*AR35</f>
        <v>0</v>
      </c>
      <c r="CL35" s="143">
        <f t="shared" si="225"/>
        <v>0</v>
      </c>
      <c r="CM35" s="143">
        <f t="shared" si="225"/>
        <v>0</v>
      </c>
      <c r="CN35" s="143">
        <f t="shared" si="225"/>
        <v>0</v>
      </c>
      <c r="CO35" s="143">
        <f t="shared" si="225"/>
        <v>0</v>
      </c>
      <c r="CP35" s="143">
        <f t="shared" si="225"/>
        <v>0</v>
      </c>
      <c r="CQ35" s="143">
        <f t="shared" si="225"/>
        <v>0</v>
      </c>
      <c r="CR35" s="143">
        <f t="shared" si="225"/>
        <v>0</v>
      </c>
      <c r="CS35" s="143">
        <f t="shared" si="225"/>
        <v>0</v>
      </c>
      <c r="CT35" s="143">
        <f t="shared" si="225"/>
        <v>0</v>
      </c>
      <c r="CU35" s="143">
        <f t="shared" si="225"/>
        <v>0</v>
      </c>
      <c r="CV35" s="143">
        <f t="shared" si="225"/>
        <v>0</v>
      </c>
      <c r="CW35" s="143"/>
      <c r="CX35" s="143">
        <f t="shared" ref="CX35:DJ35" si="226">O35*BH$2/($H35/50)^2</f>
        <v>0</v>
      </c>
      <c r="CY35" s="143">
        <f t="shared" si="226"/>
        <v>0</v>
      </c>
      <c r="CZ35" s="143">
        <f t="shared" si="226"/>
        <v>0</v>
      </c>
      <c r="DA35" s="143">
        <f t="shared" si="226"/>
        <v>0</v>
      </c>
      <c r="DB35" s="143">
        <f t="shared" si="226"/>
        <v>12.5</v>
      </c>
      <c r="DC35" s="143">
        <f t="shared" si="226"/>
        <v>0</v>
      </c>
      <c r="DD35" s="143">
        <f t="shared" si="226"/>
        <v>0</v>
      </c>
      <c r="DE35" s="143">
        <f t="shared" si="226"/>
        <v>0</v>
      </c>
      <c r="DF35" s="143">
        <f t="shared" si="226"/>
        <v>0</v>
      </c>
      <c r="DG35" s="143">
        <f t="shared" si="226"/>
        <v>0</v>
      </c>
      <c r="DH35" s="143">
        <f t="shared" si="226"/>
        <v>0</v>
      </c>
      <c r="DI35" s="143">
        <f t="shared" si="226"/>
        <v>0</v>
      </c>
      <c r="DJ35" s="143">
        <f t="shared" si="226"/>
        <v>0</v>
      </c>
      <c r="DK35" s="143">
        <f t="shared" si="37"/>
        <v>0</v>
      </c>
      <c r="DL35" s="143">
        <f t="shared" si="38"/>
        <v>0</v>
      </c>
      <c r="DM35" s="143">
        <f t="shared" ref="DM35:DN35" si="227">AD35*BW$2/($H35/50)^2</f>
        <v>0</v>
      </c>
      <c r="DN35" s="143">
        <f t="shared" si="227"/>
        <v>0</v>
      </c>
      <c r="DO35" s="143">
        <f t="shared" si="40"/>
        <v>15</v>
      </c>
      <c r="DP35" s="143">
        <f t="shared" si="41"/>
        <v>0</v>
      </c>
      <c r="DQ35" s="143">
        <f t="shared" si="42"/>
        <v>0</v>
      </c>
      <c r="DR35" s="143">
        <f t="shared" si="43"/>
        <v>0</v>
      </c>
      <c r="DS35" s="143">
        <f t="shared" si="44"/>
        <v>0</v>
      </c>
      <c r="DT35" s="143">
        <f t="shared" si="45"/>
        <v>0</v>
      </c>
      <c r="DU35" s="143">
        <f t="shared" si="46"/>
        <v>0</v>
      </c>
      <c r="DV35" s="143">
        <f t="shared" si="47"/>
        <v>0</v>
      </c>
      <c r="DW35" s="143">
        <f t="shared" si="48"/>
        <v>0</v>
      </c>
      <c r="DX35" s="143">
        <f t="shared" si="49"/>
        <v>22.5</v>
      </c>
      <c r="DY35" s="143">
        <f t="shared" si="50"/>
        <v>0</v>
      </c>
      <c r="DZ35" s="143">
        <f t="shared" si="51"/>
        <v>0</v>
      </c>
      <c r="EA35" s="143">
        <f t="shared" ref="EA35:EL35" si="228">AR35*CK$2/($H35/50)^2</f>
        <v>0</v>
      </c>
      <c r="EB35" s="143">
        <f t="shared" si="228"/>
        <v>0</v>
      </c>
      <c r="EC35" s="143">
        <f t="shared" si="228"/>
        <v>0</v>
      </c>
      <c r="ED35" s="143">
        <f t="shared" si="228"/>
        <v>0</v>
      </c>
      <c r="EE35" s="143">
        <f t="shared" si="228"/>
        <v>0</v>
      </c>
      <c r="EF35" s="143">
        <f t="shared" si="228"/>
        <v>0</v>
      </c>
      <c r="EG35" s="143">
        <f t="shared" si="228"/>
        <v>0</v>
      </c>
      <c r="EH35" s="143">
        <f t="shared" si="228"/>
        <v>0</v>
      </c>
      <c r="EI35" s="143">
        <f t="shared" si="228"/>
        <v>0</v>
      </c>
      <c r="EJ35" s="143">
        <f t="shared" si="228"/>
        <v>0</v>
      </c>
      <c r="EK35" s="143">
        <f t="shared" si="228"/>
        <v>0</v>
      </c>
      <c r="EL35" s="143">
        <f t="shared" si="228"/>
        <v>0</v>
      </c>
    </row>
    <row r="36">
      <c r="A36" s="149" t="s">
        <v>92</v>
      </c>
      <c r="B36" s="132">
        <f t="shared" si="10"/>
        <v>0</v>
      </c>
      <c r="C36" s="148"/>
      <c r="D36" s="134">
        <f t="shared" si="11"/>
        <v>0</v>
      </c>
      <c r="E36" s="135">
        <f t="shared" si="12"/>
        <v>0</v>
      </c>
      <c r="F36" s="132">
        <f t="shared" si="13"/>
        <v>0</v>
      </c>
      <c r="G36" s="136">
        <f t="shared" si="14"/>
        <v>0</v>
      </c>
      <c r="H36" s="137">
        <v>100.0</v>
      </c>
      <c r="I36" s="137" t="str">
        <f t="shared" si="132"/>
        <v>Compound Base</v>
      </c>
      <c r="J36" s="139">
        <f t="shared" si="15"/>
        <v>0</v>
      </c>
      <c r="K36" s="140">
        <f t="shared" si="16"/>
        <v>92</v>
      </c>
      <c r="L36" s="139">
        <v>100.0</v>
      </c>
      <c r="M36" s="139">
        <v>500.0</v>
      </c>
      <c r="N36" s="139">
        <v>2.0</v>
      </c>
      <c r="O36" s="141"/>
      <c r="P36" s="139"/>
      <c r="Q36" s="139">
        <v>1.0</v>
      </c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39">
        <v>1.0</v>
      </c>
      <c r="AF36" s="139"/>
      <c r="AG36" s="139"/>
      <c r="AH36" s="139"/>
      <c r="AI36" s="141"/>
      <c r="AJ36" s="141"/>
      <c r="AK36" s="141"/>
      <c r="AL36" s="141"/>
      <c r="AM36" s="141"/>
      <c r="AN36" s="141"/>
      <c r="AO36" s="141"/>
      <c r="AP36" s="141"/>
      <c r="AQ36" s="139">
        <v>2.0</v>
      </c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2"/>
      <c r="BE36" s="143">
        <f t="shared" si="17"/>
        <v>0</v>
      </c>
      <c r="BF36" s="143">
        <f t="shared" si="18"/>
        <v>0</v>
      </c>
      <c r="BG36" s="143">
        <f t="shared" ref="BG36:BT36" si="229">$G36*N36*IF($H36&gt;50,18,36)+$F36*N36*IF($H36&gt;50,4,8)+$E36*N36</f>
        <v>0</v>
      </c>
      <c r="BH36" s="143">
        <f t="shared" si="229"/>
        <v>0</v>
      </c>
      <c r="BI36" s="143">
        <f t="shared" si="229"/>
        <v>0</v>
      </c>
      <c r="BJ36" s="143">
        <f t="shared" si="229"/>
        <v>0</v>
      </c>
      <c r="BK36" s="143">
        <f t="shared" si="229"/>
        <v>0</v>
      </c>
      <c r="BL36" s="143">
        <f t="shared" si="229"/>
        <v>0</v>
      </c>
      <c r="BM36" s="143">
        <f t="shared" si="229"/>
        <v>0</v>
      </c>
      <c r="BN36" s="143">
        <f t="shared" si="229"/>
        <v>0</v>
      </c>
      <c r="BO36" s="143">
        <f t="shared" si="229"/>
        <v>0</v>
      </c>
      <c r="BP36" s="143">
        <f t="shared" si="229"/>
        <v>0</v>
      </c>
      <c r="BQ36" s="143">
        <f t="shared" si="229"/>
        <v>0</v>
      </c>
      <c r="BR36" s="143">
        <f t="shared" si="229"/>
        <v>0</v>
      </c>
      <c r="BS36" s="143">
        <f t="shared" si="229"/>
        <v>0</v>
      </c>
      <c r="BT36" s="143">
        <f t="shared" si="229"/>
        <v>0</v>
      </c>
      <c r="BU36" s="143">
        <f t="shared" si="20"/>
        <v>0</v>
      </c>
      <c r="BV36" s="143">
        <f t="shared" si="21"/>
        <v>0</v>
      </c>
      <c r="BW36" s="143">
        <f t="shared" ref="BW36:BX36" si="230">$G36*AD36*IF($H36&gt;50,18,36)+$F36*AD36*IF($H36&gt;50,4,8)+$E36*AD36</f>
        <v>0</v>
      </c>
      <c r="BX36" s="143">
        <f t="shared" si="230"/>
        <v>0</v>
      </c>
      <c r="BY36" s="143">
        <f t="shared" si="23"/>
        <v>0</v>
      </c>
      <c r="BZ36" s="143">
        <f t="shared" si="24"/>
        <v>0</v>
      </c>
      <c r="CA36" s="143">
        <f t="shared" si="25"/>
        <v>0</v>
      </c>
      <c r="CB36" s="143">
        <f t="shared" si="26"/>
        <v>0</v>
      </c>
      <c r="CC36" s="143">
        <f t="shared" si="27"/>
        <v>0</v>
      </c>
      <c r="CD36" s="143">
        <f t="shared" si="28"/>
        <v>0</v>
      </c>
      <c r="CE36" s="143">
        <f t="shared" si="29"/>
        <v>0</v>
      </c>
      <c r="CF36" s="143">
        <f t="shared" si="30"/>
        <v>0</v>
      </c>
      <c r="CG36" s="143">
        <f t="shared" si="31"/>
        <v>0</v>
      </c>
      <c r="CH36" s="143">
        <f t="shared" si="32"/>
        <v>0</v>
      </c>
      <c r="CI36" s="143">
        <f t="shared" si="33"/>
        <v>0</v>
      </c>
      <c r="CJ36" s="143">
        <f t="shared" si="34"/>
        <v>0</v>
      </c>
      <c r="CK36" s="143">
        <f t="shared" ref="CK36:CV36" si="231">$G36*AR36*IF($H36&gt;50,18,36)+$F36*AR36*IF($H36&gt;50,4,8)+$E36*AR36</f>
        <v>0</v>
      </c>
      <c r="CL36" s="143">
        <f t="shared" si="231"/>
        <v>0</v>
      </c>
      <c r="CM36" s="143">
        <f t="shared" si="231"/>
        <v>0</v>
      </c>
      <c r="CN36" s="143">
        <f t="shared" si="231"/>
        <v>0</v>
      </c>
      <c r="CO36" s="143">
        <f t="shared" si="231"/>
        <v>0</v>
      </c>
      <c r="CP36" s="143">
        <f t="shared" si="231"/>
        <v>0</v>
      </c>
      <c r="CQ36" s="143">
        <f t="shared" si="231"/>
        <v>0</v>
      </c>
      <c r="CR36" s="143">
        <f t="shared" si="231"/>
        <v>0</v>
      </c>
      <c r="CS36" s="143">
        <f t="shared" si="231"/>
        <v>0</v>
      </c>
      <c r="CT36" s="143">
        <f t="shared" si="231"/>
        <v>0</v>
      </c>
      <c r="CU36" s="143">
        <f t="shared" si="231"/>
        <v>0</v>
      </c>
      <c r="CV36" s="143">
        <f t="shared" si="231"/>
        <v>0</v>
      </c>
      <c r="CW36" s="143"/>
      <c r="CX36" s="143">
        <f t="shared" ref="CX36:DJ36" si="232">O36*BH$2/($H36/50)^2</f>
        <v>0</v>
      </c>
      <c r="CY36" s="143">
        <f t="shared" si="232"/>
        <v>0</v>
      </c>
      <c r="CZ36" s="143">
        <f t="shared" si="232"/>
        <v>2.5</v>
      </c>
      <c r="DA36" s="143">
        <f t="shared" si="232"/>
        <v>0</v>
      </c>
      <c r="DB36" s="143">
        <f t="shared" si="232"/>
        <v>0</v>
      </c>
      <c r="DC36" s="143">
        <f t="shared" si="232"/>
        <v>0</v>
      </c>
      <c r="DD36" s="143">
        <f t="shared" si="232"/>
        <v>0</v>
      </c>
      <c r="DE36" s="143">
        <f t="shared" si="232"/>
        <v>0</v>
      </c>
      <c r="DF36" s="143">
        <f t="shared" si="232"/>
        <v>0</v>
      </c>
      <c r="DG36" s="143">
        <f t="shared" si="232"/>
        <v>0</v>
      </c>
      <c r="DH36" s="143">
        <f t="shared" si="232"/>
        <v>0</v>
      </c>
      <c r="DI36" s="143">
        <f t="shared" si="232"/>
        <v>0</v>
      </c>
      <c r="DJ36" s="143">
        <f t="shared" si="232"/>
        <v>0</v>
      </c>
      <c r="DK36" s="143">
        <f t="shared" si="37"/>
        <v>0</v>
      </c>
      <c r="DL36" s="143">
        <f t="shared" si="38"/>
        <v>0</v>
      </c>
      <c r="DM36" s="143">
        <f t="shared" ref="DM36:DN36" si="233">AD36*BW$2/($H36/50)^2</f>
        <v>0</v>
      </c>
      <c r="DN36" s="143">
        <f t="shared" si="233"/>
        <v>8.75</v>
      </c>
      <c r="DO36" s="143">
        <f t="shared" si="40"/>
        <v>0</v>
      </c>
      <c r="DP36" s="143">
        <f t="shared" si="41"/>
        <v>0</v>
      </c>
      <c r="DQ36" s="143">
        <f t="shared" si="42"/>
        <v>0</v>
      </c>
      <c r="DR36" s="143">
        <f t="shared" si="43"/>
        <v>0</v>
      </c>
      <c r="DS36" s="143">
        <f t="shared" si="44"/>
        <v>0</v>
      </c>
      <c r="DT36" s="143">
        <f t="shared" si="45"/>
        <v>0</v>
      </c>
      <c r="DU36" s="143">
        <f t="shared" si="46"/>
        <v>0</v>
      </c>
      <c r="DV36" s="143">
        <f t="shared" si="47"/>
        <v>0</v>
      </c>
      <c r="DW36" s="143">
        <f t="shared" si="48"/>
        <v>0</v>
      </c>
      <c r="DX36" s="143">
        <f t="shared" si="49"/>
        <v>15</v>
      </c>
      <c r="DY36" s="143">
        <f t="shared" si="50"/>
        <v>0</v>
      </c>
      <c r="DZ36" s="143">
        <f t="shared" si="51"/>
        <v>0</v>
      </c>
      <c r="EA36" s="143">
        <f t="shared" ref="EA36:EL36" si="234">AR36*CK$2/($H36/50)^2</f>
        <v>0</v>
      </c>
      <c r="EB36" s="143">
        <f t="shared" si="234"/>
        <v>0</v>
      </c>
      <c r="EC36" s="143">
        <f t="shared" si="234"/>
        <v>0</v>
      </c>
      <c r="ED36" s="143">
        <f t="shared" si="234"/>
        <v>0</v>
      </c>
      <c r="EE36" s="143">
        <f t="shared" si="234"/>
        <v>0</v>
      </c>
      <c r="EF36" s="143">
        <f t="shared" si="234"/>
        <v>0</v>
      </c>
      <c r="EG36" s="143">
        <f t="shared" si="234"/>
        <v>0</v>
      </c>
      <c r="EH36" s="143">
        <f t="shared" si="234"/>
        <v>0</v>
      </c>
      <c r="EI36" s="143">
        <f t="shared" si="234"/>
        <v>0</v>
      </c>
      <c r="EJ36" s="143">
        <f t="shared" si="234"/>
        <v>0</v>
      </c>
      <c r="EK36" s="143">
        <f t="shared" si="234"/>
        <v>0</v>
      </c>
      <c r="EL36" s="143">
        <f t="shared" si="234"/>
        <v>0</v>
      </c>
    </row>
    <row r="37">
      <c r="A37" s="149" t="s">
        <v>93</v>
      </c>
      <c r="B37" s="132">
        <f t="shared" si="10"/>
        <v>0</v>
      </c>
      <c r="C37" s="144"/>
      <c r="D37" s="134">
        <f t="shared" si="11"/>
        <v>0</v>
      </c>
      <c r="E37" s="135">
        <f t="shared" si="12"/>
        <v>0</v>
      </c>
      <c r="F37" s="132">
        <f t="shared" si="13"/>
        <v>0</v>
      </c>
      <c r="G37" s="136">
        <f t="shared" si="14"/>
        <v>0</v>
      </c>
      <c r="H37" s="137">
        <v>100.0</v>
      </c>
      <c r="I37" s="137" t="str">
        <f t="shared" si="132"/>
        <v>Compound Base</v>
      </c>
      <c r="J37" s="139">
        <f t="shared" si="15"/>
        <v>0</v>
      </c>
      <c r="K37" s="140">
        <f t="shared" si="16"/>
        <v>125</v>
      </c>
      <c r="L37" s="139">
        <v>300.0</v>
      </c>
      <c r="M37" s="139">
        <v>1500.0</v>
      </c>
      <c r="N37" s="139">
        <v>4.0</v>
      </c>
      <c r="O37" s="141"/>
      <c r="P37" s="141"/>
      <c r="Q37" s="141"/>
      <c r="R37" s="141"/>
      <c r="S37" s="139">
        <v>1.0</v>
      </c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39">
        <v>2.0</v>
      </c>
      <c r="AF37" s="139"/>
      <c r="AG37" s="139"/>
      <c r="AH37" s="139"/>
      <c r="AI37" s="141"/>
      <c r="AJ37" s="141"/>
      <c r="AK37" s="141"/>
      <c r="AL37" s="141"/>
      <c r="AM37" s="141"/>
      <c r="AN37" s="141"/>
      <c r="AO37" s="141"/>
      <c r="AP37" s="141"/>
      <c r="AQ37" s="139">
        <v>4.0</v>
      </c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2"/>
      <c r="BE37" s="143">
        <f t="shared" si="17"/>
        <v>0</v>
      </c>
      <c r="BF37" s="143">
        <f t="shared" si="18"/>
        <v>0</v>
      </c>
      <c r="BG37" s="143">
        <f t="shared" ref="BG37:BT37" si="235">$G37*N37*IF($H37&gt;50,18,36)+$F37*N37*IF($H37&gt;50,4,8)+$E37*N37</f>
        <v>0</v>
      </c>
      <c r="BH37" s="143">
        <f t="shared" si="235"/>
        <v>0</v>
      </c>
      <c r="BI37" s="143">
        <f t="shared" si="235"/>
        <v>0</v>
      </c>
      <c r="BJ37" s="143">
        <f t="shared" si="235"/>
        <v>0</v>
      </c>
      <c r="BK37" s="143">
        <f t="shared" si="235"/>
        <v>0</v>
      </c>
      <c r="BL37" s="143">
        <f t="shared" si="235"/>
        <v>0</v>
      </c>
      <c r="BM37" s="143">
        <f t="shared" si="235"/>
        <v>0</v>
      </c>
      <c r="BN37" s="143">
        <f t="shared" si="235"/>
        <v>0</v>
      </c>
      <c r="BO37" s="143">
        <f t="shared" si="235"/>
        <v>0</v>
      </c>
      <c r="BP37" s="143">
        <f t="shared" si="235"/>
        <v>0</v>
      </c>
      <c r="BQ37" s="143">
        <f t="shared" si="235"/>
        <v>0</v>
      </c>
      <c r="BR37" s="143">
        <f t="shared" si="235"/>
        <v>0</v>
      </c>
      <c r="BS37" s="143">
        <f t="shared" si="235"/>
        <v>0</v>
      </c>
      <c r="BT37" s="143">
        <f t="shared" si="235"/>
        <v>0</v>
      </c>
      <c r="BU37" s="143">
        <f t="shared" si="20"/>
        <v>0</v>
      </c>
      <c r="BV37" s="143">
        <f t="shared" si="21"/>
        <v>0</v>
      </c>
      <c r="BW37" s="143">
        <f t="shared" ref="BW37:BX37" si="236">$G37*AD37*IF($H37&gt;50,18,36)+$F37*AD37*IF($H37&gt;50,4,8)+$E37*AD37</f>
        <v>0</v>
      </c>
      <c r="BX37" s="143">
        <f t="shared" si="236"/>
        <v>0</v>
      </c>
      <c r="BY37" s="143">
        <f t="shared" si="23"/>
        <v>0</v>
      </c>
      <c r="BZ37" s="143">
        <f t="shared" si="24"/>
        <v>0</v>
      </c>
      <c r="CA37" s="143">
        <f t="shared" si="25"/>
        <v>0</v>
      </c>
      <c r="CB37" s="143">
        <f t="shared" si="26"/>
        <v>0</v>
      </c>
      <c r="CC37" s="143">
        <f t="shared" si="27"/>
        <v>0</v>
      </c>
      <c r="CD37" s="143">
        <f t="shared" si="28"/>
        <v>0</v>
      </c>
      <c r="CE37" s="143">
        <f t="shared" si="29"/>
        <v>0</v>
      </c>
      <c r="CF37" s="143">
        <f t="shared" si="30"/>
        <v>0</v>
      </c>
      <c r="CG37" s="143">
        <f t="shared" si="31"/>
        <v>0</v>
      </c>
      <c r="CH37" s="143">
        <f t="shared" si="32"/>
        <v>0</v>
      </c>
      <c r="CI37" s="143">
        <f t="shared" si="33"/>
        <v>0</v>
      </c>
      <c r="CJ37" s="143">
        <f t="shared" si="34"/>
        <v>0</v>
      </c>
      <c r="CK37" s="143">
        <f t="shared" ref="CK37:CV37" si="237">$G37*AR37*IF($H37&gt;50,18,36)+$F37*AR37*IF($H37&gt;50,4,8)+$E37*AR37</f>
        <v>0</v>
      </c>
      <c r="CL37" s="143">
        <f t="shared" si="237"/>
        <v>0</v>
      </c>
      <c r="CM37" s="143">
        <f t="shared" si="237"/>
        <v>0</v>
      </c>
      <c r="CN37" s="143">
        <f t="shared" si="237"/>
        <v>0</v>
      </c>
      <c r="CO37" s="143">
        <f t="shared" si="237"/>
        <v>0</v>
      </c>
      <c r="CP37" s="143">
        <f t="shared" si="237"/>
        <v>0</v>
      </c>
      <c r="CQ37" s="143">
        <f t="shared" si="237"/>
        <v>0</v>
      </c>
      <c r="CR37" s="143">
        <f t="shared" si="237"/>
        <v>0</v>
      </c>
      <c r="CS37" s="143">
        <f t="shared" si="237"/>
        <v>0</v>
      </c>
      <c r="CT37" s="143">
        <f t="shared" si="237"/>
        <v>0</v>
      </c>
      <c r="CU37" s="143">
        <f t="shared" si="237"/>
        <v>0</v>
      </c>
      <c r="CV37" s="143">
        <f t="shared" si="237"/>
        <v>0</v>
      </c>
      <c r="CW37" s="143"/>
      <c r="CX37" s="143">
        <f t="shared" ref="CX37:DJ37" si="238">O37*BH$2/($H37/50)^2</f>
        <v>0</v>
      </c>
      <c r="CY37" s="143">
        <f t="shared" si="238"/>
        <v>0</v>
      </c>
      <c r="CZ37" s="143">
        <f t="shared" si="238"/>
        <v>0</v>
      </c>
      <c r="DA37" s="143">
        <f t="shared" si="238"/>
        <v>0</v>
      </c>
      <c r="DB37" s="143">
        <f t="shared" si="238"/>
        <v>12.5</v>
      </c>
      <c r="DC37" s="143">
        <f t="shared" si="238"/>
        <v>0</v>
      </c>
      <c r="DD37" s="143">
        <f t="shared" si="238"/>
        <v>0</v>
      </c>
      <c r="DE37" s="143">
        <f t="shared" si="238"/>
        <v>0</v>
      </c>
      <c r="DF37" s="143">
        <f t="shared" si="238"/>
        <v>0</v>
      </c>
      <c r="DG37" s="143">
        <f t="shared" si="238"/>
        <v>0</v>
      </c>
      <c r="DH37" s="143">
        <f t="shared" si="238"/>
        <v>0</v>
      </c>
      <c r="DI37" s="143">
        <f t="shared" si="238"/>
        <v>0</v>
      </c>
      <c r="DJ37" s="143">
        <f t="shared" si="238"/>
        <v>0</v>
      </c>
      <c r="DK37" s="143">
        <f t="shared" si="37"/>
        <v>0</v>
      </c>
      <c r="DL37" s="143">
        <f t="shared" si="38"/>
        <v>0</v>
      </c>
      <c r="DM37" s="143">
        <f t="shared" ref="DM37:DN37" si="239">AD37*BW$2/($H37/50)^2</f>
        <v>0</v>
      </c>
      <c r="DN37" s="143">
        <f t="shared" si="239"/>
        <v>17.5</v>
      </c>
      <c r="DO37" s="143">
        <f t="shared" si="40"/>
        <v>0</v>
      </c>
      <c r="DP37" s="143">
        <f t="shared" si="41"/>
        <v>0</v>
      </c>
      <c r="DQ37" s="143">
        <f t="shared" si="42"/>
        <v>0</v>
      </c>
      <c r="DR37" s="143">
        <f t="shared" si="43"/>
        <v>0</v>
      </c>
      <c r="DS37" s="143">
        <f t="shared" si="44"/>
        <v>0</v>
      </c>
      <c r="DT37" s="143">
        <f t="shared" si="45"/>
        <v>0</v>
      </c>
      <c r="DU37" s="143">
        <f t="shared" si="46"/>
        <v>0</v>
      </c>
      <c r="DV37" s="143">
        <f t="shared" si="47"/>
        <v>0</v>
      </c>
      <c r="DW37" s="143">
        <f t="shared" si="48"/>
        <v>0</v>
      </c>
      <c r="DX37" s="143">
        <f t="shared" si="49"/>
        <v>30</v>
      </c>
      <c r="DY37" s="143">
        <f t="shared" si="50"/>
        <v>0</v>
      </c>
      <c r="DZ37" s="143">
        <f t="shared" si="51"/>
        <v>0</v>
      </c>
      <c r="EA37" s="143">
        <f t="shared" ref="EA37:EL37" si="240">AR37*CK$2/($H37/50)^2</f>
        <v>0</v>
      </c>
      <c r="EB37" s="143">
        <f t="shared" si="240"/>
        <v>0</v>
      </c>
      <c r="EC37" s="143">
        <f t="shared" si="240"/>
        <v>0</v>
      </c>
      <c r="ED37" s="143">
        <f t="shared" si="240"/>
        <v>0</v>
      </c>
      <c r="EE37" s="143">
        <f t="shared" si="240"/>
        <v>0</v>
      </c>
      <c r="EF37" s="143">
        <f t="shared" si="240"/>
        <v>0</v>
      </c>
      <c r="EG37" s="143">
        <f t="shared" si="240"/>
        <v>0</v>
      </c>
      <c r="EH37" s="143">
        <f t="shared" si="240"/>
        <v>0</v>
      </c>
      <c r="EI37" s="143">
        <f t="shared" si="240"/>
        <v>0</v>
      </c>
      <c r="EJ37" s="143">
        <f t="shared" si="240"/>
        <v>0</v>
      </c>
      <c r="EK37" s="143">
        <f t="shared" si="240"/>
        <v>0</v>
      </c>
      <c r="EL37" s="143">
        <f t="shared" si="240"/>
        <v>0</v>
      </c>
    </row>
    <row r="38">
      <c r="A38" s="149" t="s">
        <v>94</v>
      </c>
      <c r="B38" s="132">
        <f t="shared" si="10"/>
        <v>0</v>
      </c>
      <c r="C38" s="148"/>
      <c r="D38" s="134">
        <f t="shared" si="11"/>
        <v>0</v>
      </c>
      <c r="E38" s="135">
        <f t="shared" si="12"/>
        <v>0</v>
      </c>
      <c r="F38" s="132">
        <f t="shared" si="13"/>
        <v>0</v>
      </c>
      <c r="G38" s="136">
        <f t="shared" si="14"/>
        <v>0</v>
      </c>
      <c r="H38" s="137">
        <v>100.0</v>
      </c>
      <c r="I38" s="137" t="str">
        <f t="shared" si="132"/>
        <v>Compound Base</v>
      </c>
      <c r="J38" s="139">
        <f t="shared" si="15"/>
        <v>0</v>
      </c>
      <c r="K38" s="140">
        <f t="shared" si="16"/>
        <v>90</v>
      </c>
      <c r="L38" s="139">
        <v>100.0</v>
      </c>
      <c r="M38" s="139">
        <v>500.0</v>
      </c>
      <c r="N38" s="139">
        <v>2.0</v>
      </c>
      <c r="O38" s="141"/>
      <c r="P38" s="139"/>
      <c r="Q38" s="139">
        <v>1.0</v>
      </c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39">
        <v>1.0</v>
      </c>
      <c r="AC38" s="141"/>
      <c r="AD38" s="141"/>
      <c r="AE38" s="141"/>
      <c r="AF38" s="139"/>
      <c r="AG38" s="139"/>
      <c r="AH38" s="139"/>
      <c r="AI38" s="141"/>
      <c r="AJ38" s="141"/>
      <c r="AK38" s="141"/>
      <c r="AL38" s="141"/>
      <c r="AM38" s="141"/>
      <c r="AN38" s="141"/>
      <c r="AO38" s="141"/>
      <c r="AP38" s="141"/>
      <c r="AQ38" s="139">
        <v>2.0</v>
      </c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2"/>
      <c r="BE38" s="143">
        <f t="shared" si="17"/>
        <v>0</v>
      </c>
      <c r="BF38" s="143">
        <f t="shared" si="18"/>
        <v>0</v>
      </c>
      <c r="BG38" s="143">
        <f t="shared" ref="BG38:BT38" si="241">$G38*N38*IF($H38&gt;50,18,36)+$F38*N38*IF($H38&gt;50,4,8)+$E38*N38</f>
        <v>0</v>
      </c>
      <c r="BH38" s="143">
        <f t="shared" si="241"/>
        <v>0</v>
      </c>
      <c r="BI38" s="143">
        <f t="shared" si="241"/>
        <v>0</v>
      </c>
      <c r="BJ38" s="143">
        <f t="shared" si="241"/>
        <v>0</v>
      </c>
      <c r="BK38" s="143">
        <f t="shared" si="241"/>
        <v>0</v>
      </c>
      <c r="BL38" s="143">
        <f t="shared" si="241"/>
        <v>0</v>
      </c>
      <c r="BM38" s="143">
        <f t="shared" si="241"/>
        <v>0</v>
      </c>
      <c r="BN38" s="143">
        <f t="shared" si="241"/>
        <v>0</v>
      </c>
      <c r="BO38" s="143">
        <f t="shared" si="241"/>
        <v>0</v>
      </c>
      <c r="BP38" s="143">
        <f t="shared" si="241"/>
        <v>0</v>
      </c>
      <c r="BQ38" s="143">
        <f t="shared" si="241"/>
        <v>0</v>
      </c>
      <c r="BR38" s="143">
        <f t="shared" si="241"/>
        <v>0</v>
      </c>
      <c r="BS38" s="143">
        <f t="shared" si="241"/>
        <v>0</v>
      </c>
      <c r="BT38" s="143">
        <f t="shared" si="241"/>
        <v>0</v>
      </c>
      <c r="BU38" s="143">
        <f t="shared" si="20"/>
        <v>0</v>
      </c>
      <c r="BV38" s="143">
        <f t="shared" si="21"/>
        <v>0</v>
      </c>
      <c r="BW38" s="143">
        <f t="shared" ref="BW38:BX38" si="242">$G38*AD38*IF($H38&gt;50,18,36)+$F38*AD38*IF($H38&gt;50,4,8)+$E38*AD38</f>
        <v>0</v>
      </c>
      <c r="BX38" s="143">
        <f t="shared" si="242"/>
        <v>0</v>
      </c>
      <c r="BY38" s="143">
        <f t="shared" si="23"/>
        <v>0</v>
      </c>
      <c r="BZ38" s="143">
        <f t="shared" si="24"/>
        <v>0</v>
      </c>
      <c r="CA38" s="143">
        <f t="shared" si="25"/>
        <v>0</v>
      </c>
      <c r="CB38" s="143">
        <f t="shared" si="26"/>
        <v>0</v>
      </c>
      <c r="CC38" s="143">
        <f t="shared" si="27"/>
        <v>0</v>
      </c>
      <c r="CD38" s="143">
        <f t="shared" si="28"/>
        <v>0</v>
      </c>
      <c r="CE38" s="143">
        <f t="shared" si="29"/>
        <v>0</v>
      </c>
      <c r="CF38" s="143">
        <f t="shared" si="30"/>
        <v>0</v>
      </c>
      <c r="CG38" s="143">
        <f t="shared" si="31"/>
        <v>0</v>
      </c>
      <c r="CH38" s="143">
        <f t="shared" si="32"/>
        <v>0</v>
      </c>
      <c r="CI38" s="143">
        <f t="shared" si="33"/>
        <v>0</v>
      </c>
      <c r="CJ38" s="143">
        <f t="shared" si="34"/>
        <v>0</v>
      </c>
      <c r="CK38" s="143">
        <f t="shared" ref="CK38:CV38" si="243">$G38*AR38*IF($H38&gt;50,18,36)+$F38*AR38*IF($H38&gt;50,4,8)+$E38*AR38</f>
        <v>0</v>
      </c>
      <c r="CL38" s="143">
        <f t="shared" si="243"/>
        <v>0</v>
      </c>
      <c r="CM38" s="143">
        <f t="shared" si="243"/>
        <v>0</v>
      </c>
      <c r="CN38" s="143">
        <f t="shared" si="243"/>
        <v>0</v>
      </c>
      <c r="CO38" s="143">
        <f t="shared" si="243"/>
        <v>0</v>
      </c>
      <c r="CP38" s="143">
        <f t="shared" si="243"/>
        <v>0</v>
      </c>
      <c r="CQ38" s="143">
        <f t="shared" si="243"/>
        <v>0</v>
      </c>
      <c r="CR38" s="143">
        <f t="shared" si="243"/>
        <v>0</v>
      </c>
      <c r="CS38" s="143">
        <f t="shared" si="243"/>
        <v>0</v>
      </c>
      <c r="CT38" s="143">
        <f t="shared" si="243"/>
        <v>0</v>
      </c>
      <c r="CU38" s="143">
        <f t="shared" si="243"/>
        <v>0</v>
      </c>
      <c r="CV38" s="143">
        <f t="shared" si="243"/>
        <v>0</v>
      </c>
      <c r="CW38" s="143"/>
      <c r="CX38" s="143">
        <f t="shared" ref="CX38:DJ38" si="244">O38*BH$2/($H38/50)^2</f>
        <v>0</v>
      </c>
      <c r="CY38" s="143">
        <f t="shared" si="244"/>
        <v>0</v>
      </c>
      <c r="CZ38" s="143">
        <f t="shared" si="244"/>
        <v>2.5</v>
      </c>
      <c r="DA38" s="143">
        <f t="shared" si="244"/>
        <v>0</v>
      </c>
      <c r="DB38" s="143">
        <f t="shared" si="244"/>
        <v>0</v>
      </c>
      <c r="DC38" s="143">
        <f t="shared" si="244"/>
        <v>0</v>
      </c>
      <c r="DD38" s="143">
        <f t="shared" si="244"/>
        <v>0</v>
      </c>
      <c r="DE38" s="143">
        <f t="shared" si="244"/>
        <v>0</v>
      </c>
      <c r="DF38" s="143">
        <f t="shared" si="244"/>
        <v>0</v>
      </c>
      <c r="DG38" s="143">
        <f t="shared" si="244"/>
        <v>0</v>
      </c>
      <c r="DH38" s="143">
        <f t="shared" si="244"/>
        <v>0</v>
      </c>
      <c r="DI38" s="143">
        <f t="shared" si="244"/>
        <v>0</v>
      </c>
      <c r="DJ38" s="143">
        <f t="shared" si="244"/>
        <v>0</v>
      </c>
      <c r="DK38" s="143">
        <f t="shared" si="37"/>
        <v>0</v>
      </c>
      <c r="DL38" s="143">
        <f t="shared" si="38"/>
        <v>7.5</v>
      </c>
      <c r="DM38" s="143">
        <f t="shared" ref="DM38:DN38" si="245">AD38*BW$2/($H38/50)^2</f>
        <v>0</v>
      </c>
      <c r="DN38" s="143">
        <f t="shared" si="245"/>
        <v>0</v>
      </c>
      <c r="DO38" s="143">
        <f t="shared" si="40"/>
        <v>0</v>
      </c>
      <c r="DP38" s="143">
        <f t="shared" si="41"/>
        <v>0</v>
      </c>
      <c r="DQ38" s="143">
        <f t="shared" si="42"/>
        <v>0</v>
      </c>
      <c r="DR38" s="143">
        <f t="shared" si="43"/>
        <v>0</v>
      </c>
      <c r="DS38" s="143">
        <f t="shared" si="44"/>
        <v>0</v>
      </c>
      <c r="DT38" s="143">
        <f t="shared" si="45"/>
        <v>0</v>
      </c>
      <c r="DU38" s="143">
        <f t="shared" si="46"/>
        <v>0</v>
      </c>
      <c r="DV38" s="143">
        <f t="shared" si="47"/>
        <v>0</v>
      </c>
      <c r="DW38" s="143">
        <f t="shared" si="48"/>
        <v>0</v>
      </c>
      <c r="DX38" s="143">
        <f t="shared" si="49"/>
        <v>15</v>
      </c>
      <c r="DY38" s="143">
        <f t="shared" si="50"/>
        <v>0</v>
      </c>
      <c r="DZ38" s="143">
        <f t="shared" si="51"/>
        <v>0</v>
      </c>
      <c r="EA38" s="143">
        <f t="shared" ref="EA38:EL38" si="246">AR38*CK$2/($H38/50)^2</f>
        <v>0</v>
      </c>
      <c r="EB38" s="143">
        <f t="shared" si="246"/>
        <v>0</v>
      </c>
      <c r="EC38" s="143">
        <f t="shared" si="246"/>
        <v>0</v>
      </c>
      <c r="ED38" s="143">
        <f t="shared" si="246"/>
        <v>0</v>
      </c>
      <c r="EE38" s="143">
        <f t="shared" si="246"/>
        <v>0</v>
      </c>
      <c r="EF38" s="143">
        <f t="shared" si="246"/>
        <v>0</v>
      </c>
      <c r="EG38" s="143">
        <f t="shared" si="246"/>
        <v>0</v>
      </c>
      <c r="EH38" s="143">
        <f t="shared" si="246"/>
        <v>0</v>
      </c>
      <c r="EI38" s="143">
        <f t="shared" si="246"/>
        <v>0</v>
      </c>
      <c r="EJ38" s="143">
        <f t="shared" si="246"/>
        <v>0</v>
      </c>
      <c r="EK38" s="143">
        <f t="shared" si="246"/>
        <v>0</v>
      </c>
      <c r="EL38" s="143">
        <f t="shared" si="246"/>
        <v>0</v>
      </c>
    </row>
    <row r="39">
      <c r="A39" s="149" t="s">
        <v>95</v>
      </c>
      <c r="B39" s="132">
        <f t="shared" si="10"/>
        <v>0</v>
      </c>
      <c r="C39" s="148"/>
      <c r="D39" s="134">
        <f t="shared" si="11"/>
        <v>0</v>
      </c>
      <c r="E39" s="135">
        <f t="shared" si="12"/>
        <v>0</v>
      </c>
      <c r="F39" s="132">
        <f t="shared" si="13"/>
        <v>0</v>
      </c>
      <c r="G39" s="136">
        <f t="shared" si="14"/>
        <v>0</v>
      </c>
      <c r="H39" s="137">
        <v>100.0</v>
      </c>
      <c r="I39" s="137" t="str">
        <f t="shared" si="132"/>
        <v>Compound Base</v>
      </c>
      <c r="J39" s="139">
        <f t="shared" si="15"/>
        <v>0</v>
      </c>
      <c r="K39" s="140">
        <f t="shared" si="16"/>
        <v>123</v>
      </c>
      <c r="L39" s="139">
        <v>300.0</v>
      </c>
      <c r="M39" s="139">
        <v>1500.0</v>
      </c>
      <c r="N39" s="139">
        <v>4.0</v>
      </c>
      <c r="O39" s="141"/>
      <c r="P39" s="141"/>
      <c r="Q39" s="141"/>
      <c r="R39" s="141"/>
      <c r="S39" s="139">
        <v>1.0</v>
      </c>
      <c r="T39" s="141"/>
      <c r="U39" s="141"/>
      <c r="V39" s="141"/>
      <c r="W39" s="141"/>
      <c r="X39" s="141"/>
      <c r="Y39" s="141"/>
      <c r="Z39" s="141"/>
      <c r="AA39" s="141"/>
      <c r="AB39" s="139">
        <v>2.0</v>
      </c>
      <c r="AC39" s="141"/>
      <c r="AD39" s="141"/>
      <c r="AE39" s="141"/>
      <c r="AF39" s="139"/>
      <c r="AG39" s="139"/>
      <c r="AH39" s="139"/>
      <c r="AI39" s="141"/>
      <c r="AJ39" s="141"/>
      <c r="AK39" s="141"/>
      <c r="AL39" s="141"/>
      <c r="AM39" s="141"/>
      <c r="AN39" s="141"/>
      <c r="AO39" s="141"/>
      <c r="AP39" s="141"/>
      <c r="AQ39" s="139">
        <v>4.0</v>
      </c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2"/>
      <c r="BE39" s="143">
        <f t="shared" si="17"/>
        <v>0</v>
      </c>
      <c r="BF39" s="143">
        <f t="shared" si="18"/>
        <v>0</v>
      </c>
      <c r="BG39" s="143">
        <f t="shared" ref="BG39:BT39" si="247">$G39*N39*IF($H39&gt;50,18,36)+$F39*N39*IF($H39&gt;50,4,8)+$E39*N39</f>
        <v>0</v>
      </c>
      <c r="BH39" s="143">
        <f t="shared" si="247"/>
        <v>0</v>
      </c>
      <c r="BI39" s="143">
        <f t="shared" si="247"/>
        <v>0</v>
      </c>
      <c r="BJ39" s="143">
        <f t="shared" si="247"/>
        <v>0</v>
      </c>
      <c r="BK39" s="143">
        <f t="shared" si="247"/>
        <v>0</v>
      </c>
      <c r="BL39" s="143">
        <f t="shared" si="247"/>
        <v>0</v>
      </c>
      <c r="BM39" s="143">
        <f t="shared" si="247"/>
        <v>0</v>
      </c>
      <c r="BN39" s="143">
        <f t="shared" si="247"/>
        <v>0</v>
      </c>
      <c r="BO39" s="143">
        <f t="shared" si="247"/>
        <v>0</v>
      </c>
      <c r="BP39" s="143">
        <f t="shared" si="247"/>
        <v>0</v>
      </c>
      <c r="BQ39" s="143">
        <f t="shared" si="247"/>
        <v>0</v>
      </c>
      <c r="BR39" s="143">
        <f t="shared" si="247"/>
        <v>0</v>
      </c>
      <c r="BS39" s="143">
        <f t="shared" si="247"/>
        <v>0</v>
      </c>
      <c r="BT39" s="143">
        <f t="shared" si="247"/>
        <v>0</v>
      </c>
      <c r="BU39" s="143">
        <f t="shared" si="20"/>
        <v>0</v>
      </c>
      <c r="BV39" s="143">
        <f t="shared" si="21"/>
        <v>0</v>
      </c>
      <c r="BW39" s="143">
        <f t="shared" ref="BW39:BX39" si="248">$G39*AD39*IF($H39&gt;50,18,36)+$F39*AD39*IF($H39&gt;50,4,8)+$E39*AD39</f>
        <v>0</v>
      </c>
      <c r="BX39" s="143">
        <f t="shared" si="248"/>
        <v>0</v>
      </c>
      <c r="BY39" s="143">
        <f t="shared" si="23"/>
        <v>0</v>
      </c>
      <c r="BZ39" s="143">
        <f t="shared" si="24"/>
        <v>0</v>
      </c>
      <c r="CA39" s="143">
        <f t="shared" si="25"/>
        <v>0</v>
      </c>
      <c r="CB39" s="143">
        <f t="shared" si="26"/>
        <v>0</v>
      </c>
      <c r="CC39" s="143">
        <f t="shared" si="27"/>
        <v>0</v>
      </c>
      <c r="CD39" s="143">
        <f t="shared" si="28"/>
        <v>0</v>
      </c>
      <c r="CE39" s="143">
        <f t="shared" si="29"/>
        <v>0</v>
      </c>
      <c r="CF39" s="143">
        <f t="shared" si="30"/>
        <v>0</v>
      </c>
      <c r="CG39" s="143">
        <f t="shared" si="31"/>
        <v>0</v>
      </c>
      <c r="CH39" s="143">
        <f t="shared" si="32"/>
        <v>0</v>
      </c>
      <c r="CI39" s="143">
        <f t="shared" si="33"/>
        <v>0</v>
      </c>
      <c r="CJ39" s="143">
        <f t="shared" si="34"/>
        <v>0</v>
      </c>
      <c r="CK39" s="143">
        <f t="shared" ref="CK39:CV39" si="249">$G39*AR39*IF($H39&gt;50,18,36)+$F39*AR39*IF($H39&gt;50,4,8)+$E39*AR39</f>
        <v>0</v>
      </c>
      <c r="CL39" s="143">
        <f t="shared" si="249"/>
        <v>0</v>
      </c>
      <c r="CM39" s="143">
        <f t="shared" si="249"/>
        <v>0</v>
      </c>
      <c r="CN39" s="143">
        <f t="shared" si="249"/>
        <v>0</v>
      </c>
      <c r="CO39" s="143">
        <f t="shared" si="249"/>
        <v>0</v>
      </c>
      <c r="CP39" s="143">
        <f t="shared" si="249"/>
        <v>0</v>
      </c>
      <c r="CQ39" s="143">
        <f t="shared" si="249"/>
        <v>0</v>
      </c>
      <c r="CR39" s="143">
        <f t="shared" si="249"/>
        <v>0</v>
      </c>
      <c r="CS39" s="143">
        <f t="shared" si="249"/>
        <v>0</v>
      </c>
      <c r="CT39" s="143">
        <f t="shared" si="249"/>
        <v>0</v>
      </c>
      <c r="CU39" s="143">
        <f t="shared" si="249"/>
        <v>0</v>
      </c>
      <c r="CV39" s="143">
        <f t="shared" si="249"/>
        <v>0</v>
      </c>
      <c r="CW39" s="143"/>
      <c r="CX39" s="143">
        <f t="shared" ref="CX39:DJ39" si="250">O39*BH$2/($H39/50)^2</f>
        <v>0</v>
      </c>
      <c r="CY39" s="143">
        <f t="shared" si="250"/>
        <v>0</v>
      </c>
      <c r="CZ39" s="143">
        <f t="shared" si="250"/>
        <v>0</v>
      </c>
      <c r="DA39" s="143">
        <f t="shared" si="250"/>
        <v>0</v>
      </c>
      <c r="DB39" s="143">
        <f t="shared" si="250"/>
        <v>12.5</v>
      </c>
      <c r="DC39" s="143">
        <f t="shared" si="250"/>
        <v>0</v>
      </c>
      <c r="DD39" s="143">
        <f t="shared" si="250"/>
        <v>0</v>
      </c>
      <c r="DE39" s="143">
        <f t="shared" si="250"/>
        <v>0</v>
      </c>
      <c r="DF39" s="143">
        <f t="shared" si="250"/>
        <v>0</v>
      </c>
      <c r="DG39" s="143">
        <f t="shared" si="250"/>
        <v>0</v>
      </c>
      <c r="DH39" s="143">
        <f t="shared" si="250"/>
        <v>0</v>
      </c>
      <c r="DI39" s="143">
        <f t="shared" si="250"/>
        <v>0</v>
      </c>
      <c r="DJ39" s="143">
        <f t="shared" si="250"/>
        <v>0</v>
      </c>
      <c r="DK39" s="143">
        <f t="shared" si="37"/>
        <v>0</v>
      </c>
      <c r="DL39" s="143">
        <f t="shared" si="38"/>
        <v>15</v>
      </c>
      <c r="DM39" s="143">
        <f t="shared" ref="DM39:DN39" si="251">AD39*BW$2/($H39/50)^2</f>
        <v>0</v>
      </c>
      <c r="DN39" s="143">
        <f t="shared" si="251"/>
        <v>0</v>
      </c>
      <c r="DO39" s="143">
        <f t="shared" si="40"/>
        <v>0</v>
      </c>
      <c r="DP39" s="143">
        <f t="shared" si="41"/>
        <v>0</v>
      </c>
      <c r="DQ39" s="143">
        <f t="shared" si="42"/>
        <v>0</v>
      </c>
      <c r="DR39" s="143">
        <f t="shared" si="43"/>
        <v>0</v>
      </c>
      <c r="DS39" s="143">
        <f t="shared" si="44"/>
        <v>0</v>
      </c>
      <c r="DT39" s="143">
        <f t="shared" si="45"/>
        <v>0</v>
      </c>
      <c r="DU39" s="143">
        <f t="shared" si="46"/>
        <v>0</v>
      </c>
      <c r="DV39" s="143">
        <f t="shared" si="47"/>
        <v>0</v>
      </c>
      <c r="DW39" s="143">
        <f t="shared" si="48"/>
        <v>0</v>
      </c>
      <c r="DX39" s="143">
        <f t="shared" si="49"/>
        <v>30</v>
      </c>
      <c r="DY39" s="143">
        <f t="shared" si="50"/>
        <v>0</v>
      </c>
      <c r="DZ39" s="143">
        <f t="shared" si="51"/>
        <v>0</v>
      </c>
      <c r="EA39" s="143">
        <f t="shared" ref="EA39:EL39" si="252">AR39*CK$2/($H39/50)^2</f>
        <v>0</v>
      </c>
      <c r="EB39" s="143">
        <f t="shared" si="252"/>
        <v>0</v>
      </c>
      <c r="EC39" s="143">
        <f t="shared" si="252"/>
        <v>0</v>
      </c>
      <c r="ED39" s="143">
        <f t="shared" si="252"/>
        <v>0</v>
      </c>
      <c r="EE39" s="143">
        <f t="shared" si="252"/>
        <v>0</v>
      </c>
      <c r="EF39" s="143">
        <f t="shared" si="252"/>
        <v>0</v>
      </c>
      <c r="EG39" s="143">
        <f t="shared" si="252"/>
        <v>0</v>
      </c>
      <c r="EH39" s="143">
        <f t="shared" si="252"/>
        <v>0</v>
      </c>
      <c r="EI39" s="143">
        <f t="shared" si="252"/>
        <v>0</v>
      </c>
      <c r="EJ39" s="143">
        <f t="shared" si="252"/>
        <v>0</v>
      </c>
      <c r="EK39" s="143">
        <f t="shared" si="252"/>
        <v>0</v>
      </c>
      <c r="EL39" s="143">
        <f t="shared" si="252"/>
        <v>0</v>
      </c>
    </row>
    <row r="40">
      <c r="A40" s="151" t="s">
        <v>96</v>
      </c>
      <c r="B40" s="132">
        <f t="shared" si="10"/>
        <v>0</v>
      </c>
      <c r="C40" s="144"/>
      <c r="D40" s="134">
        <f t="shared" si="11"/>
        <v>0</v>
      </c>
      <c r="E40" s="135">
        <f t="shared" si="12"/>
        <v>0</v>
      </c>
      <c r="F40" s="132">
        <f t="shared" si="13"/>
        <v>0</v>
      </c>
      <c r="G40" s="136">
        <f t="shared" si="14"/>
        <v>0</v>
      </c>
      <c r="H40" s="137">
        <v>100.0</v>
      </c>
      <c r="I40" s="138" t="str">
        <f t="shared" ref="I40:I56" si="259">$A$6</f>
        <v>Paste Base</v>
      </c>
      <c r="J40" s="139">
        <f t="shared" si="15"/>
        <v>0</v>
      </c>
      <c r="K40" s="140">
        <f t="shared" si="16"/>
        <v>167</v>
      </c>
      <c r="L40" s="139">
        <v>200.0</v>
      </c>
      <c r="M40" s="139">
        <v>600.0</v>
      </c>
      <c r="N40" s="139">
        <v>2.0</v>
      </c>
      <c r="O40" s="141"/>
      <c r="P40" s="139"/>
      <c r="Q40" s="139">
        <v>1.0</v>
      </c>
      <c r="R40" s="141"/>
      <c r="S40" s="141"/>
      <c r="T40" s="141"/>
      <c r="U40" s="141"/>
      <c r="V40" s="141"/>
      <c r="W40" s="139"/>
      <c r="X40" s="139">
        <v>1.0</v>
      </c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2"/>
      <c r="BE40" s="143">
        <f t="shared" si="17"/>
        <v>0</v>
      </c>
      <c r="BF40" s="143">
        <f t="shared" si="18"/>
        <v>0</v>
      </c>
      <c r="BG40" s="143">
        <f t="shared" ref="BG40:BT40" si="253">$G40*N40*IF($H40&gt;50,18,36)+$F40*N40*IF($H40&gt;50,4,8)+$E40*N40</f>
        <v>0</v>
      </c>
      <c r="BH40" s="143">
        <f t="shared" si="253"/>
        <v>0</v>
      </c>
      <c r="BI40" s="143">
        <f t="shared" si="253"/>
        <v>0</v>
      </c>
      <c r="BJ40" s="143">
        <f t="shared" si="253"/>
        <v>0</v>
      </c>
      <c r="BK40" s="143">
        <f t="shared" si="253"/>
        <v>0</v>
      </c>
      <c r="BL40" s="143">
        <f t="shared" si="253"/>
        <v>0</v>
      </c>
      <c r="BM40" s="143">
        <f t="shared" si="253"/>
        <v>0</v>
      </c>
      <c r="BN40" s="143">
        <f t="shared" si="253"/>
        <v>0</v>
      </c>
      <c r="BO40" s="143">
        <f t="shared" si="253"/>
        <v>0</v>
      </c>
      <c r="BP40" s="143">
        <f t="shared" si="253"/>
        <v>0</v>
      </c>
      <c r="BQ40" s="143">
        <f t="shared" si="253"/>
        <v>0</v>
      </c>
      <c r="BR40" s="143">
        <f t="shared" si="253"/>
        <v>0</v>
      </c>
      <c r="BS40" s="143">
        <f t="shared" si="253"/>
        <v>0</v>
      </c>
      <c r="BT40" s="143">
        <f t="shared" si="253"/>
        <v>0</v>
      </c>
      <c r="BU40" s="143">
        <f t="shared" si="20"/>
        <v>0</v>
      </c>
      <c r="BV40" s="143">
        <f t="shared" si="21"/>
        <v>0</v>
      </c>
      <c r="BW40" s="143">
        <f t="shared" ref="BW40:BX40" si="254">$G40*AD40*IF($H40&gt;50,18,36)+$F40*AD40*IF($H40&gt;50,4,8)+$E40*AD40</f>
        <v>0</v>
      </c>
      <c r="BX40" s="143">
        <f t="shared" si="254"/>
        <v>0</v>
      </c>
      <c r="BY40" s="143">
        <f t="shared" si="23"/>
        <v>0</v>
      </c>
      <c r="BZ40" s="143">
        <f t="shared" si="24"/>
        <v>0</v>
      </c>
      <c r="CA40" s="143">
        <f t="shared" si="25"/>
        <v>0</v>
      </c>
      <c r="CB40" s="143">
        <f t="shared" si="26"/>
        <v>0</v>
      </c>
      <c r="CC40" s="143">
        <f t="shared" si="27"/>
        <v>0</v>
      </c>
      <c r="CD40" s="143">
        <f t="shared" si="28"/>
        <v>0</v>
      </c>
      <c r="CE40" s="143">
        <f t="shared" si="29"/>
        <v>0</v>
      </c>
      <c r="CF40" s="143">
        <f t="shared" si="30"/>
        <v>0</v>
      </c>
      <c r="CG40" s="143">
        <f t="shared" si="31"/>
        <v>0</v>
      </c>
      <c r="CH40" s="143">
        <f t="shared" si="32"/>
        <v>0</v>
      </c>
      <c r="CI40" s="143">
        <f t="shared" si="33"/>
        <v>0</v>
      </c>
      <c r="CJ40" s="143">
        <f t="shared" si="34"/>
        <v>0</v>
      </c>
      <c r="CK40" s="143">
        <f t="shared" ref="CK40:CV40" si="255">$G40*AR40*IF($H40&gt;50,18,36)+$F40*AR40*IF($H40&gt;50,4,8)+$E40*AR40</f>
        <v>0</v>
      </c>
      <c r="CL40" s="143">
        <f t="shared" si="255"/>
        <v>0</v>
      </c>
      <c r="CM40" s="143">
        <f t="shared" si="255"/>
        <v>0</v>
      </c>
      <c r="CN40" s="143">
        <f t="shared" si="255"/>
        <v>0</v>
      </c>
      <c r="CO40" s="143">
        <f t="shared" si="255"/>
        <v>0</v>
      </c>
      <c r="CP40" s="143">
        <f t="shared" si="255"/>
        <v>0</v>
      </c>
      <c r="CQ40" s="143">
        <f t="shared" si="255"/>
        <v>0</v>
      </c>
      <c r="CR40" s="143">
        <f t="shared" si="255"/>
        <v>0</v>
      </c>
      <c r="CS40" s="143">
        <f t="shared" si="255"/>
        <v>0</v>
      </c>
      <c r="CT40" s="143">
        <f t="shared" si="255"/>
        <v>0</v>
      </c>
      <c r="CU40" s="143">
        <f t="shared" si="255"/>
        <v>0</v>
      </c>
      <c r="CV40" s="143">
        <f t="shared" si="255"/>
        <v>0</v>
      </c>
      <c r="CW40" s="143"/>
      <c r="CX40" s="143">
        <f t="shared" ref="CX40:DJ40" si="256">O40*BH$2/($H40/50)^2</f>
        <v>0</v>
      </c>
      <c r="CY40" s="143">
        <f t="shared" si="256"/>
        <v>0</v>
      </c>
      <c r="CZ40" s="143">
        <f t="shared" si="256"/>
        <v>2.5</v>
      </c>
      <c r="DA40" s="143">
        <f t="shared" si="256"/>
        <v>0</v>
      </c>
      <c r="DB40" s="143">
        <f t="shared" si="256"/>
        <v>0</v>
      </c>
      <c r="DC40" s="143">
        <f t="shared" si="256"/>
        <v>0</v>
      </c>
      <c r="DD40" s="143">
        <f t="shared" si="256"/>
        <v>0</v>
      </c>
      <c r="DE40" s="143">
        <f t="shared" si="256"/>
        <v>0</v>
      </c>
      <c r="DF40" s="143">
        <f t="shared" si="256"/>
        <v>0</v>
      </c>
      <c r="DG40" s="143">
        <f t="shared" si="256"/>
        <v>0.5</v>
      </c>
      <c r="DH40" s="143">
        <f t="shared" si="256"/>
        <v>0</v>
      </c>
      <c r="DI40" s="143">
        <f t="shared" si="256"/>
        <v>0</v>
      </c>
      <c r="DJ40" s="143">
        <f t="shared" si="256"/>
        <v>0</v>
      </c>
      <c r="DK40" s="143">
        <f t="shared" si="37"/>
        <v>0</v>
      </c>
      <c r="DL40" s="143">
        <f t="shared" si="38"/>
        <v>0</v>
      </c>
      <c r="DM40" s="143">
        <f t="shared" ref="DM40:DN40" si="257">AD40*BW$2/($H40/50)^2</f>
        <v>0</v>
      </c>
      <c r="DN40" s="143">
        <f t="shared" si="257"/>
        <v>0</v>
      </c>
      <c r="DO40" s="143">
        <f t="shared" si="40"/>
        <v>0</v>
      </c>
      <c r="DP40" s="143">
        <f t="shared" si="41"/>
        <v>0</v>
      </c>
      <c r="DQ40" s="143">
        <f t="shared" si="42"/>
        <v>0</v>
      </c>
      <c r="DR40" s="143">
        <f t="shared" si="43"/>
        <v>0</v>
      </c>
      <c r="DS40" s="143">
        <f t="shared" si="44"/>
        <v>0</v>
      </c>
      <c r="DT40" s="143">
        <f t="shared" si="45"/>
        <v>0</v>
      </c>
      <c r="DU40" s="143">
        <f t="shared" si="46"/>
        <v>0</v>
      </c>
      <c r="DV40" s="143">
        <f t="shared" si="47"/>
        <v>0</v>
      </c>
      <c r="DW40" s="143">
        <f t="shared" si="48"/>
        <v>0</v>
      </c>
      <c r="DX40" s="143">
        <f t="shared" si="49"/>
        <v>0</v>
      </c>
      <c r="DY40" s="143">
        <f t="shared" si="50"/>
        <v>0</v>
      </c>
      <c r="DZ40" s="143">
        <f t="shared" si="51"/>
        <v>0</v>
      </c>
      <c r="EA40" s="143">
        <f t="shared" ref="EA40:EL40" si="258">AR40*CK$2/($H40/50)^2</f>
        <v>0</v>
      </c>
      <c r="EB40" s="143">
        <f t="shared" si="258"/>
        <v>0</v>
      </c>
      <c r="EC40" s="143">
        <f t="shared" si="258"/>
        <v>0</v>
      </c>
      <c r="ED40" s="143">
        <f t="shared" si="258"/>
        <v>0</v>
      </c>
      <c r="EE40" s="143">
        <f t="shared" si="258"/>
        <v>0</v>
      </c>
      <c r="EF40" s="143">
        <f t="shared" si="258"/>
        <v>0</v>
      </c>
      <c r="EG40" s="143">
        <f t="shared" si="258"/>
        <v>0</v>
      </c>
      <c r="EH40" s="143">
        <f t="shared" si="258"/>
        <v>0</v>
      </c>
      <c r="EI40" s="143">
        <f t="shared" si="258"/>
        <v>0</v>
      </c>
      <c r="EJ40" s="143">
        <f t="shared" si="258"/>
        <v>0</v>
      </c>
      <c r="EK40" s="143">
        <f t="shared" si="258"/>
        <v>0</v>
      </c>
      <c r="EL40" s="143">
        <f t="shared" si="258"/>
        <v>0</v>
      </c>
    </row>
    <row r="41">
      <c r="A41" s="151" t="s">
        <v>97</v>
      </c>
      <c r="B41" s="132">
        <f t="shared" si="10"/>
        <v>0</v>
      </c>
      <c r="C41" s="146">
        <v>5.0</v>
      </c>
      <c r="D41" s="134">
        <f t="shared" si="11"/>
        <v>5</v>
      </c>
      <c r="E41" s="135">
        <f t="shared" si="12"/>
        <v>5</v>
      </c>
      <c r="F41" s="132">
        <f t="shared" si="13"/>
        <v>0</v>
      </c>
      <c r="G41" s="136">
        <f t="shared" si="14"/>
        <v>0</v>
      </c>
      <c r="H41" s="137">
        <v>100.0</v>
      </c>
      <c r="I41" s="138" t="str">
        <f t="shared" si="259"/>
        <v>Paste Base</v>
      </c>
      <c r="J41" s="139">
        <f t="shared" si="15"/>
        <v>890</v>
      </c>
      <c r="K41" s="140">
        <f t="shared" si="16"/>
        <v>178</v>
      </c>
      <c r="L41" s="139">
        <v>300.0</v>
      </c>
      <c r="M41" s="139">
        <v>1800.0</v>
      </c>
      <c r="N41" s="139">
        <v>4.0</v>
      </c>
      <c r="O41" s="141"/>
      <c r="P41" s="141"/>
      <c r="Q41" s="141"/>
      <c r="R41" s="141"/>
      <c r="S41" s="139">
        <v>1.0</v>
      </c>
      <c r="T41" s="141"/>
      <c r="U41" s="141"/>
      <c r="V41" s="141"/>
      <c r="W41" s="139"/>
      <c r="X41" s="139">
        <v>2.0</v>
      </c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2"/>
      <c r="BE41" s="143">
        <f t="shared" si="17"/>
        <v>1500</v>
      </c>
      <c r="BF41" s="143">
        <f t="shared" si="18"/>
        <v>1800</v>
      </c>
      <c r="BG41" s="143">
        <f t="shared" ref="BG41:BT41" si="260">$G41*N41*IF($H41&gt;50,18,36)+$F41*N41*IF($H41&gt;50,4,8)+$E41*N41</f>
        <v>20</v>
      </c>
      <c r="BH41" s="143">
        <f t="shared" si="260"/>
        <v>0</v>
      </c>
      <c r="BI41" s="143">
        <f t="shared" si="260"/>
        <v>0</v>
      </c>
      <c r="BJ41" s="143">
        <f t="shared" si="260"/>
        <v>0</v>
      </c>
      <c r="BK41" s="143">
        <f t="shared" si="260"/>
        <v>0</v>
      </c>
      <c r="BL41" s="143">
        <f t="shared" si="260"/>
        <v>5</v>
      </c>
      <c r="BM41" s="143">
        <f t="shared" si="260"/>
        <v>0</v>
      </c>
      <c r="BN41" s="143">
        <f t="shared" si="260"/>
        <v>0</v>
      </c>
      <c r="BO41" s="143">
        <f t="shared" si="260"/>
        <v>0</v>
      </c>
      <c r="BP41" s="143">
        <f t="shared" si="260"/>
        <v>0</v>
      </c>
      <c r="BQ41" s="143">
        <f t="shared" si="260"/>
        <v>10</v>
      </c>
      <c r="BR41" s="143">
        <f t="shared" si="260"/>
        <v>0</v>
      </c>
      <c r="BS41" s="143">
        <f t="shared" si="260"/>
        <v>0</v>
      </c>
      <c r="BT41" s="143">
        <f t="shared" si="260"/>
        <v>0</v>
      </c>
      <c r="BU41" s="143">
        <f t="shared" si="20"/>
        <v>0</v>
      </c>
      <c r="BV41" s="143">
        <f t="shared" si="21"/>
        <v>0</v>
      </c>
      <c r="BW41" s="143">
        <f t="shared" ref="BW41:BX41" si="261">$G41*AD41*IF($H41&gt;50,18,36)+$F41*AD41*IF($H41&gt;50,4,8)+$E41*AD41</f>
        <v>0</v>
      </c>
      <c r="BX41" s="143">
        <f t="shared" si="261"/>
        <v>0</v>
      </c>
      <c r="BY41" s="143">
        <f t="shared" si="23"/>
        <v>0</v>
      </c>
      <c r="BZ41" s="143">
        <f t="shared" si="24"/>
        <v>0</v>
      </c>
      <c r="CA41" s="143">
        <f t="shared" si="25"/>
        <v>0</v>
      </c>
      <c r="CB41" s="143">
        <f t="shared" si="26"/>
        <v>0</v>
      </c>
      <c r="CC41" s="143">
        <f t="shared" si="27"/>
        <v>0</v>
      </c>
      <c r="CD41" s="143">
        <f t="shared" si="28"/>
        <v>0</v>
      </c>
      <c r="CE41" s="143">
        <f t="shared" si="29"/>
        <v>0</v>
      </c>
      <c r="CF41" s="143">
        <f t="shared" si="30"/>
        <v>0</v>
      </c>
      <c r="CG41" s="143">
        <f t="shared" si="31"/>
        <v>0</v>
      </c>
      <c r="CH41" s="143">
        <f t="shared" si="32"/>
        <v>0</v>
      </c>
      <c r="CI41" s="143">
        <f t="shared" si="33"/>
        <v>0</v>
      </c>
      <c r="CJ41" s="143">
        <f t="shared" si="34"/>
        <v>0</v>
      </c>
      <c r="CK41" s="143">
        <f t="shared" ref="CK41:CV41" si="262">$G41*AR41*IF($H41&gt;50,18,36)+$F41*AR41*IF($H41&gt;50,4,8)+$E41*AR41</f>
        <v>0</v>
      </c>
      <c r="CL41" s="143">
        <f t="shared" si="262"/>
        <v>0</v>
      </c>
      <c r="CM41" s="143">
        <f t="shared" si="262"/>
        <v>0</v>
      </c>
      <c r="CN41" s="143">
        <f t="shared" si="262"/>
        <v>0</v>
      </c>
      <c r="CO41" s="143">
        <f t="shared" si="262"/>
        <v>0</v>
      </c>
      <c r="CP41" s="143">
        <f t="shared" si="262"/>
        <v>0</v>
      </c>
      <c r="CQ41" s="143">
        <f t="shared" si="262"/>
        <v>0</v>
      </c>
      <c r="CR41" s="143">
        <f t="shared" si="262"/>
        <v>0</v>
      </c>
      <c r="CS41" s="143">
        <f t="shared" si="262"/>
        <v>0</v>
      </c>
      <c r="CT41" s="143">
        <f t="shared" si="262"/>
        <v>0</v>
      </c>
      <c r="CU41" s="143">
        <f t="shared" si="262"/>
        <v>0</v>
      </c>
      <c r="CV41" s="143">
        <f t="shared" si="262"/>
        <v>0</v>
      </c>
      <c r="CW41" s="143"/>
      <c r="CX41" s="143">
        <f t="shared" ref="CX41:DJ41" si="263">O41*BH$2/($H41/50)^2</f>
        <v>0</v>
      </c>
      <c r="CY41" s="143">
        <f t="shared" si="263"/>
        <v>0</v>
      </c>
      <c r="CZ41" s="143">
        <f t="shared" si="263"/>
        <v>0</v>
      </c>
      <c r="DA41" s="143">
        <f t="shared" si="263"/>
        <v>0</v>
      </c>
      <c r="DB41" s="143">
        <f t="shared" si="263"/>
        <v>12.5</v>
      </c>
      <c r="DC41" s="143">
        <f t="shared" si="263"/>
        <v>0</v>
      </c>
      <c r="DD41" s="143">
        <f t="shared" si="263"/>
        <v>0</v>
      </c>
      <c r="DE41" s="143">
        <f t="shared" si="263"/>
        <v>0</v>
      </c>
      <c r="DF41" s="143">
        <f t="shared" si="263"/>
        <v>0</v>
      </c>
      <c r="DG41" s="143">
        <f t="shared" si="263"/>
        <v>1</v>
      </c>
      <c r="DH41" s="143">
        <f t="shared" si="263"/>
        <v>0</v>
      </c>
      <c r="DI41" s="143">
        <f t="shared" si="263"/>
        <v>0</v>
      </c>
      <c r="DJ41" s="143">
        <f t="shared" si="263"/>
        <v>0</v>
      </c>
      <c r="DK41" s="143">
        <f t="shared" si="37"/>
        <v>0</v>
      </c>
      <c r="DL41" s="143">
        <f t="shared" si="38"/>
        <v>0</v>
      </c>
      <c r="DM41" s="143">
        <f t="shared" ref="DM41:DN41" si="264">AD41*BW$2/($H41/50)^2</f>
        <v>0</v>
      </c>
      <c r="DN41" s="143">
        <f t="shared" si="264"/>
        <v>0</v>
      </c>
      <c r="DO41" s="143">
        <f t="shared" si="40"/>
        <v>0</v>
      </c>
      <c r="DP41" s="143">
        <f t="shared" si="41"/>
        <v>0</v>
      </c>
      <c r="DQ41" s="143">
        <f t="shared" si="42"/>
        <v>0</v>
      </c>
      <c r="DR41" s="143">
        <f t="shared" si="43"/>
        <v>0</v>
      </c>
      <c r="DS41" s="143">
        <f t="shared" si="44"/>
        <v>0</v>
      </c>
      <c r="DT41" s="143">
        <f t="shared" si="45"/>
        <v>0</v>
      </c>
      <c r="DU41" s="143">
        <f t="shared" si="46"/>
        <v>0</v>
      </c>
      <c r="DV41" s="143">
        <f t="shared" si="47"/>
        <v>0</v>
      </c>
      <c r="DW41" s="143">
        <f t="shared" si="48"/>
        <v>0</v>
      </c>
      <c r="DX41" s="143">
        <f t="shared" si="49"/>
        <v>0</v>
      </c>
      <c r="DY41" s="143">
        <f t="shared" si="50"/>
        <v>0</v>
      </c>
      <c r="DZ41" s="143">
        <f t="shared" si="51"/>
        <v>0</v>
      </c>
      <c r="EA41" s="143">
        <f t="shared" ref="EA41:EL41" si="265">AR41*CK$2/($H41/50)^2</f>
        <v>0</v>
      </c>
      <c r="EB41" s="143">
        <f t="shared" si="265"/>
        <v>0</v>
      </c>
      <c r="EC41" s="143">
        <f t="shared" si="265"/>
        <v>0</v>
      </c>
      <c r="ED41" s="143">
        <f t="shared" si="265"/>
        <v>0</v>
      </c>
      <c r="EE41" s="143">
        <f t="shared" si="265"/>
        <v>0</v>
      </c>
      <c r="EF41" s="143">
        <f t="shared" si="265"/>
        <v>0</v>
      </c>
      <c r="EG41" s="143">
        <f t="shared" si="265"/>
        <v>0</v>
      </c>
      <c r="EH41" s="143">
        <f t="shared" si="265"/>
        <v>0</v>
      </c>
      <c r="EI41" s="143">
        <f t="shared" si="265"/>
        <v>0</v>
      </c>
      <c r="EJ41" s="143">
        <f t="shared" si="265"/>
        <v>0</v>
      </c>
      <c r="EK41" s="143">
        <f t="shared" si="265"/>
        <v>0</v>
      </c>
      <c r="EL41" s="143">
        <f t="shared" si="265"/>
        <v>0</v>
      </c>
    </row>
    <row r="42">
      <c r="A42" s="151" t="s">
        <v>98</v>
      </c>
      <c r="B42" s="132">
        <f t="shared" si="10"/>
        <v>0</v>
      </c>
      <c r="C42" s="148"/>
      <c r="D42" s="134">
        <f t="shared" si="11"/>
        <v>0</v>
      </c>
      <c r="E42" s="135">
        <f t="shared" si="12"/>
        <v>0</v>
      </c>
      <c r="F42" s="132">
        <f t="shared" si="13"/>
        <v>0</v>
      </c>
      <c r="G42" s="136">
        <f t="shared" si="14"/>
        <v>0</v>
      </c>
      <c r="H42" s="137">
        <v>100.0</v>
      </c>
      <c r="I42" s="138" t="str">
        <f t="shared" si="259"/>
        <v>Paste Base</v>
      </c>
      <c r="J42" s="139">
        <f t="shared" si="15"/>
        <v>0</v>
      </c>
      <c r="K42" s="140">
        <f t="shared" si="16"/>
        <v>197</v>
      </c>
      <c r="L42" s="139">
        <v>200.0</v>
      </c>
      <c r="M42" s="139">
        <v>600.0</v>
      </c>
      <c r="N42" s="139">
        <v>2.0</v>
      </c>
      <c r="O42" s="141"/>
      <c r="P42" s="139"/>
      <c r="Q42" s="139">
        <v>1.0</v>
      </c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39">
        <v>2.0</v>
      </c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2"/>
      <c r="BE42" s="143">
        <f t="shared" si="17"/>
        <v>0</v>
      </c>
      <c r="BF42" s="143">
        <f t="shared" si="18"/>
        <v>0</v>
      </c>
      <c r="BG42" s="143">
        <f t="shared" ref="BG42:BT42" si="266">$G42*N42*IF($H42&gt;50,18,36)+$F42*N42*IF($H42&gt;50,4,8)+$E42*N42</f>
        <v>0</v>
      </c>
      <c r="BH42" s="143">
        <f t="shared" si="266"/>
        <v>0</v>
      </c>
      <c r="BI42" s="143">
        <f t="shared" si="266"/>
        <v>0</v>
      </c>
      <c r="BJ42" s="143">
        <f t="shared" si="266"/>
        <v>0</v>
      </c>
      <c r="BK42" s="143">
        <f t="shared" si="266"/>
        <v>0</v>
      </c>
      <c r="BL42" s="143">
        <f t="shared" si="266"/>
        <v>0</v>
      </c>
      <c r="BM42" s="143">
        <f t="shared" si="266"/>
        <v>0</v>
      </c>
      <c r="BN42" s="143">
        <f t="shared" si="266"/>
        <v>0</v>
      </c>
      <c r="BO42" s="143">
        <f t="shared" si="266"/>
        <v>0</v>
      </c>
      <c r="BP42" s="143">
        <f t="shared" si="266"/>
        <v>0</v>
      </c>
      <c r="BQ42" s="143">
        <f t="shared" si="266"/>
        <v>0</v>
      </c>
      <c r="BR42" s="143">
        <f t="shared" si="266"/>
        <v>0</v>
      </c>
      <c r="BS42" s="143">
        <f t="shared" si="266"/>
        <v>0</v>
      </c>
      <c r="BT42" s="143">
        <f t="shared" si="266"/>
        <v>0</v>
      </c>
      <c r="BU42" s="143">
        <f t="shared" si="20"/>
        <v>0</v>
      </c>
      <c r="BV42" s="143">
        <f t="shared" si="21"/>
        <v>0</v>
      </c>
      <c r="BW42" s="143">
        <f t="shared" ref="BW42:BX42" si="267">$G42*AD42*IF($H42&gt;50,18,36)+$F42*AD42*IF($H42&gt;50,4,8)+$E42*AD42</f>
        <v>0</v>
      </c>
      <c r="BX42" s="143">
        <f t="shared" si="267"/>
        <v>0</v>
      </c>
      <c r="BY42" s="143">
        <f t="shared" si="23"/>
        <v>0</v>
      </c>
      <c r="BZ42" s="143">
        <f t="shared" si="24"/>
        <v>0</v>
      </c>
      <c r="CA42" s="143">
        <f t="shared" si="25"/>
        <v>0</v>
      </c>
      <c r="CB42" s="143">
        <f t="shared" si="26"/>
        <v>0</v>
      </c>
      <c r="CC42" s="143">
        <f t="shared" si="27"/>
        <v>0</v>
      </c>
      <c r="CD42" s="143">
        <f t="shared" si="28"/>
        <v>0</v>
      </c>
      <c r="CE42" s="143">
        <f t="shared" si="29"/>
        <v>0</v>
      </c>
      <c r="CF42" s="143">
        <f t="shared" si="30"/>
        <v>0</v>
      </c>
      <c r="CG42" s="143">
        <f t="shared" si="31"/>
        <v>0</v>
      </c>
      <c r="CH42" s="143">
        <f t="shared" si="32"/>
        <v>0</v>
      </c>
      <c r="CI42" s="143">
        <f t="shared" si="33"/>
        <v>0</v>
      </c>
      <c r="CJ42" s="143">
        <f t="shared" si="34"/>
        <v>0</v>
      </c>
      <c r="CK42" s="143">
        <f t="shared" ref="CK42:CV42" si="268">$G42*AR42*IF($H42&gt;50,18,36)+$F42*AR42*IF($H42&gt;50,4,8)+$E42*AR42</f>
        <v>0</v>
      </c>
      <c r="CL42" s="143">
        <f t="shared" si="268"/>
        <v>0</v>
      </c>
      <c r="CM42" s="143">
        <f t="shared" si="268"/>
        <v>0</v>
      </c>
      <c r="CN42" s="143">
        <f t="shared" si="268"/>
        <v>0</v>
      </c>
      <c r="CO42" s="143">
        <f t="shared" si="268"/>
        <v>0</v>
      </c>
      <c r="CP42" s="143">
        <f t="shared" si="268"/>
        <v>0</v>
      </c>
      <c r="CQ42" s="143">
        <f t="shared" si="268"/>
        <v>0</v>
      </c>
      <c r="CR42" s="143">
        <f t="shared" si="268"/>
        <v>0</v>
      </c>
      <c r="CS42" s="143">
        <f t="shared" si="268"/>
        <v>0</v>
      </c>
      <c r="CT42" s="143">
        <f t="shared" si="268"/>
        <v>0</v>
      </c>
      <c r="CU42" s="143">
        <f t="shared" si="268"/>
        <v>0</v>
      </c>
      <c r="CV42" s="143">
        <f t="shared" si="268"/>
        <v>0</v>
      </c>
      <c r="CW42" s="143"/>
      <c r="CX42" s="143">
        <f t="shared" ref="CX42:DJ42" si="269">O42*BH$2/($H42/50)^2</f>
        <v>0</v>
      </c>
      <c r="CY42" s="143">
        <f t="shared" si="269"/>
        <v>0</v>
      </c>
      <c r="CZ42" s="143">
        <f t="shared" si="269"/>
        <v>2.5</v>
      </c>
      <c r="DA42" s="143">
        <f t="shared" si="269"/>
        <v>0</v>
      </c>
      <c r="DB42" s="143">
        <f t="shared" si="269"/>
        <v>0</v>
      </c>
      <c r="DC42" s="143">
        <f t="shared" si="269"/>
        <v>0</v>
      </c>
      <c r="DD42" s="143">
        <f t="shared" si="269"/>
        <v>0</v>
      </c>
      <c r="DE42" s="143">
        <f t="shared" si="269"/>
        <v>0</v>
      </c>
      <c r="DF42" s="143">
        <f t="shared" si="269"/>
        <v>0</v>
      </c>
      <c r="DG42" s="143">
        <f t="shared" si="269"/>
        <v>0</v>
      </c>
      <c r="DH42" s="143">
        <f t="shared" si="269"/>
        <v>0</v>
      </c>
      <c r="DI42" s="143">
        <f t="shared" si="269"/>
        <v>0</v>
      </c>
      <c r="DJ42" s="143">
        <f t="shared" si="269"/>
        <v>0</v>
      </c>
      <c r="DK42" s="143">
        <f t="shared" si="37"/>
        <v>0</v>
      </c>
      <c r="DL42" s="143">
        <f t="shared" si="38"/>
        <v>0</v>
      </c>
      <c r="DM42" s="143">
        <f t="shared" ref="DM42:DN42" si="270">AD42*BW$2/($H42/50)^2</f>
        <v>0</v>
      </c>
      <c r="DN42" s="143">
        <f t="shared" si="270"/>
        <v>0</v>
      </c>
      <c r="DO42" s="143">
        <f t="shared" si="40"/>
        <v>0</v>
      </c>
      <c r="DP42" s="143">
        <f t="shared" si="41"/>
        <v>0</v>
      </c>
      <c r="DQ42" s="143">
        <f t="shared" si="42"/>
        <v>0</v>
      </c>
      <c r="DR42" s="143">
        <f t="shared" si="43"/>
        <v>0</v>
      </c>
      <c r="DS42" s="143">
        <f t="shared" si="44"/>
        <v>0</v>
      </c>
      <c r="DT42" s="143">
        <f t="shared" si="45"/>
        <v>0</v>
      </c>
      <c r="DU42" s="143">
        <f t="shared" si="46"/>
        <v>0</v>
      </c>
      <c r="DV42" s="143">
        <f t="shared" si="47"/>
        <v>0</v>
      </c>
      <c r="DW42" s="143">
        <f t="shared" si="48"/>
        <v>0</v>
      </c>
      <c r="DX42" s="143">
        <f t="shared" si="49"/>
        <v>0</v>
      </c>
      <c r="DY42" s="143">
        <f t="shared" si="50"/>
        <v>30</v>
      </c>
      <c r="DZ42" s="143">
        <f t="shared" si="51"/>
        <v>0</v>
      </c>
      <c r="EA42" s="143">
        <f t="shared" ref="EA42:EL42" si="271">AR42*CK$2/($H42/50)^2</f>
        <v>0</v>
      </c>
      <c r="EB42" s="143">
        <f t="shared" si="271"/>
        <v>0</v>
      </c>
      <c r="EC42" s="143">
        <f t="shared" si="271"/>
        <v>0</v>
      </c>
      <c r="ED42" s="143">
        <f t="shared" si="271"/>
        <v>0</v>
      </c>
      <c r="EE42" s="143">
        <f t="shared" si="271"/>
        <v>0</v>
      </c>
      <c r="EF42" s="143">
        <f t="shared" si="271"/>
        <v>0</v>
      </c>
      <c r="EG42" s="143">
        <f t="shared" si="271"/>
        <v>0</v>
      </c>
      <c r="EH42" s="143">
        <f t="shared" si="271"/>
        <v>0</v>
      </c>
      <c r="EI42" s="143">
        <f t="shared" si="271"/>
        <v>0</v>
      </c>
      <c r="EJ42" s="143">
        <f t="shared" si="271"/>
        <v>0</v>
      </c>
      <c r="EK42" s="143">
        <f t="shared" si="271"/>
        <v>0</v>
      </c>
      <c r="EL42" s="143">
        <f t="shared" si="271"/>
        <v>0</v>
      </c>
    </row>
    <row r="43">
      <c r="A43" s="151" t="s">
        <v>99</v>
      </c>
      <c r="B43" s="132">
        <f t="shared" si="10"/>
        <v>0</v>
      </c>
      <c r="C43" s="144"/>
      <c r="D43" s="134">
        <f t="shared" si="11"/>
        <v>0</v>
      </c>
      <c r="E43" s="135">
        <f t="shared" si="12"/>
        <v>0</v>
      </c>
      <c r="F43" s="132">
        <f t="shared" si="13"/>
        <v>0</v>
      </c>
      <c r="G43" s="136">
        <f t="shared" si="14"/>
        <v>0</v>
      </c>
      <c r="H43" s="137">
        <v>100.0</v>
      </c>
      <c r="I43" s="138" t="str">
        <f t="shared" si="259"/>
        <v>Paste Base</v>
      </c>
      <c r="J43" s="139">
        <f t="shared" si="15"/>
        <v>0</v>
      </c>
      <c r="K43" s="140">
        <f t="shared" si="16"/>
        <v>237</v>
      </c>
      <c r="L43" s="139">
        <v>300.0</v>
      </c>
      <c r="M43" s="139">
        <v>1800.0</v>
      </c>
      <c r="N43" s="139">
        <v>4.0</v>
      </c>
      <c r="O43" s="141"/>
      <c r="P43" s="141"/>
      <c r="Q43" s="141"/>
      <c r="R43" s="141"/>
      <c r="S43" s="139">
        <v>1.0</v>
      </c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39">
        <v>4.0</v>
      </c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2"/>
      <c r="BE43" s="143">
        <f t="shared" si="17"/>
        <v>0</v>
      </c>
      <c r="BF43" s="143">
        <f t="shared" si="18"/>
        <v>0</v>
      </c>
      <c r="BG43" s="143">
        <f t="shared" ref="BG43:BT43" si="272">$G43*N43*IF($H43&gt;50,18,36)+$F43*N43*IF($H43&gt;50,4,8)+$E43*N43</f>
        <v>0</v>
      </c>
      <c r="BH43" s="143">
        <f t="shared" si="272"/>
        <v>0</v>
      </c>
      <c r="BI43" s="143">
        <f t="shared" si="272"/>
        <v>0</v>
      </c>
      <c r="BJ43" s="143">
        <f t="shared" si="272"/>
        <v>0</v>
      </c>
      <c r="BK43" s="143">
        <f t="shared" si="272"/>
        <v>0</v>
      </c>
      <c r="BL43" s="143">
        <f t="shared" si="272"/>
        <v>0</v>
      </c>
      <c r="BM43" s="143">
        <f t="shared" si="272"/>
        <v>0</v>
      </c>
      <c r="BN43" s="143">
        <f t="shared" si="272"/>
        <v>0</v>
      </c>
      <c r="BO43" s="143">
        <f t="shared" si="272"/>
        <v>0</v>
      </c>
      <c r="BP43" s="143">
        <f t="shared" si="272"/>
        <v>0</v>
      </c>
      <c r="BQ43" s="143">
        <f t="shared" si="272"/>
        <v>0</v>
      </c>
      <c r="BR43" s="143">
        <f t="shared" si="272"/>
        <v>0</v>
      </c>
      <c r="BS43" s="143">
        <f t="shared" si="272"/>
        <v>0</v>
      </c>
      <c r="BT43" s="143">
        <f t="shared" si="272"/>
        <v>0</v>
      </c>
      <c r="BU43" s="143">
        <f t="shared" si="20"/>
        <v>0</v>
      </c>
      <c r="BV43" s="143">
        <f t="shared" si="21"/>
        <v>0</v>
      </c>
      <c r="BW43" s="143">
        <f t="shared" ref="BW43:BX43" si="273">$G43*AD43*IF($H43&gt;50,18,36)+$F43*AD43*IF($H43&gt;50,4,8)+$E43*AD43</f>
        <v>0</v>
      </c>
      <c r="BX43" s="143">
        <f t="shared" si="273"/>
        <v>0</v>
      </c>
      <c r="BY43" s="143">
        <f t="shared" si="23"/>
        <v>0</v>
      </c>
      <c r="BZ43" s="143">
        <f t="shared" si="24"/>
        <v>0</v>
      </c>
      <c r="CA43" s="143">
        <f t="shared" si="25"/>
        <v>0</v>
      </c>
      <c r="CB43" s="143">
        <f t="shared" si="26"/>
        <v>0</v>
      </c>
      <c r="CC43" s="143">
        <f t="shared" si="27"/>
        <v>0</v>
      </c>
      <c r="CD43" s="143">
        <f t="shared" si="28"/>
        <v>0</v>
      </c>
      <c r="CE43" s="143">
        <f t="shared" si="29"/>
        <v>0</v>
      </c>
      <c r="CF43" s="143">
        <f t="shared" si="30"/>
        <v>0</v>
      </c>
      <c r="CG43" s="143">
        <f t="shared" si="31"/>
        <v>0</v>
      </c>
      <c r="CH43" s="143">
        <f t="shared" si="32"/>
        <v>0</v>
      </c>
      <c r="CI43" s="143">
        <f t="shared" si="33"/>
        <v>0</v>
      </c>
      <c r="CJ43" s="143">
        <f t="shared" si="34"/>
        <v>0</v>
      </c>
      <c r="CK43" s="143">
        <f t="shared" ref="CK43:CV43" si="274">$G43*AR43*IF($H43&gt;50,18,36)+$F43*AR43*IF($H43&gt;50,4,8)+$E43*AR43</f>
        <v>0</v>
      </c>
      <c r="CL43" s="143">
        <f t="shared" si="274"/>
        <v>0</v>
      </c>
      <c r="CM43" s="143">
        <f t="shared" si="274"/>
        <v>0</v>
      </c>
      <c r="CN43" s="143">
        <f t="shared" si="274"/>
        <v>0</v>
      </c>
      <c r="CO43" s="143">
        <f t="shared" si="274"/>
        <v>0</v>
      </c>
      <c r="CP43" s="143">
        <f t="shared" si="274"/>
        <v>0</v>
      </c>
      <c r="CQ43" s="143">
        <f t="shared" si="274"/>
        <v>0</v>
      </c>
      <c r="CR43" s="143">
        <f t="shared" si="274"/>
        <v>0</v>
      </c>
      <c r="CS43" s="143">
        <f t="shared" si="274"/>
        <v>0</v>
      </c>
      <c r="CT43" s="143">
        <f t="shared" si="274"/>
        <v>0</v>
      </c>
      <c r="CU43" s="143">
        <f t="shared" si="274"/>
        <v>0</v>
      </c>
      <c r="CV43" s="143">
        <f t="shared" si="274"/>
        <v>0</v>
      </c>
      <c r="CW43" s="143"/>
      <c r="CX43" s="143">
        <f t="shared" ref="CX43:DJ43" si="275">O43*BH$2/($H43/50)^2</f>
        <v>0</v>
      </c>
      <c r="CY43" s="143">
        <f t="shared" si="275"/>
        <v>0</v>
      </c>
      <c r="CZ43" s="143">
        <f t="shared" si="275"/>
        <v>0</v>
      </c>
      <c r="DA43" s="143">
        <f t="shared" si="275"/>
        <v>0</v>
      </c>
      <c r="DB43" s="143">
        <f t="shared" si="275"/>
        <v>12.5</v>
      </c>
      <c r="DC43" s="143">
        <f t="shared" si="275"/>
        <v>0</v>
      </c>
      <c r="DD43" s="143">
        <f t="shared" si="275"/>
        <v>0</v>
      </c>
      <c r="DE43" s="143">
        <f t="shared" si="275"/>
        <v>0</v>
      </c>
      <c r="DF43" s="143">
        <f t="shared" si="275"/>
        <v>0</v>
      </c>
      <c r="DG43" s="143">
        <f t="shared" si="275"/>
        <v>0</v>
      </c>
      <c r="DH43" s="143">
        <f t="shared" si="275"/>
        <v>0</v>
      </c>
      <c r="DI43" s="143">
        <f t="shared" si="275"/>
        <v>0</v>
      </c>
      <c r="DJ43" s="143">
        <f t="shared" si="275"/>
        <v>0</v>
      </c>
      <c r="DK43" s="143">
        <f t="shared" si="37"/>
        <v>0</v>
      </c>
      <c r="DL43" s="143">
        <f t="shared" si="38"/>
        <v>0</v>
      </c>
      <c r="DM43" s="143">
        <f t="shared" ref="DM43:DN43" si="276">AD43*BW$2/($H43/50)^2</f>
        <v>0</v>
      </c>
      <c r="DN43" s="143">
        <f t="shared" si="276"/>
        <v>0</v>
      </c>
      <c r="DO43" s="143">
        <f t="shared" si="40"/>
        <v>0</v>
      </c>
      <c r="DP43" s="143">
        <f t="shared" si="41"/>
        <v>0</v>
      </c>
      <c r="DQ43" s="143">
        <f t="shared" si="42"/>
        <v>0</v>
      </c>
      <c r="DR43" s="143">
        <f t="shared" si="43"/>
        <v>0</v>
      </c>
      <c r="DS43" s="143">
        <f t="shared" si="44"/>
        <v>0</v>
      </c>
      <c r="DT43" s="143">
        <f t="shared" si="45"/>
        <v>0</v>
      </c>
      <c r="DU43" s="143">
        <f t="shared" si="46"/>
        <v>0</v>
      </c>
      <c r="DV43" s="143">
        <f t="shared" si="47"/>
        <v>0</v>
      </c>
      <c r="DW43" s="143">
        <f t="shared" si="48"/>
        <v>0</v>
      </c>
      <c r="DX43" s="143">
        <f t="shared" si="49"/>
        <v>0</v>
      </c>
      <c r="DY43" s="143">
        <f t="shared" si="50"/>
        <v>60</v>
      </c>
      <c r="DZ43" s="143">
        <f t="shared" si="51"/>
        <v>0</v>
      </c>
      <c r="EA43" s="143">
        <f t="shared" ref="EA43:EL43" si="277">AR43*CK$2/($H43/50)^2</f>
        <v>0</v>
      </c>
      <c r="EB43" s="143">
        <f t="shared" si="277"/>
        <v>0</v>
      </c>
      <c r="EC43" s="143">
        <f t="shared" si="277"/>
        <v>0</v>
      </c>
      <c r="ED43" s="143">
        <f t="shared" si="277"/>
        <v>0</v>
      </c>
      <c r="EE43" s="143">
        <f t="shared" si="277"/>
        <v>0</v>
      </c>
      <c r="EF43" s="143">
        <f t="shared" si="277"/>
        <v>0</v>
      </c>
      <c r="EG43" s="143">
        <f t="shared" si="277"/>
        <v>0</v>
      </c>
      <c r="EH43" s="143">
        <f t="shared" si="277"/>
        <v>0</v>
      </c>
      <c r="EI43" s="143">
        <f t="shared" si="277"/>
        <v>0</v>
      </c>
      <c r="EJ43" s="143">
        <f t="shared" si="277"/>
        <v>0</v>
      </c>
      <c r="EK43" s="143">
        <f t="shared" si="277"/>
        <v>0</v>
      </c>
      <c r="EL43" s="143">
        <f t="shared" si="277"/>
        <v>0</v>
      </c>
    </row>
    <row r="44">
      <c r="A44" s="151" t="s">
        <v>100</v>
      </c>
      <c r="B44" s="132">
        <f t="shared" si="10"/>
        <v>0</v>
      </c>
      <c r="C44" s="148"/>
      <c r="D44" s="134">
        <f t="shared" si="11"/>
        <v>0</v>
      </c>
      <c r="E44" s="135">
        <f t="shared" si="12"/>
        <v>0</v>
      </c>
      <c r="F44" s="132">
        <f t="shared" si="13"/>
        <v>0</v>
      </c>
      <c r="G44" s="136">
        <f t="shared" si="14"/>
        <v>0</v>
      </c>
      <c r="H44" s="137">
        <v>100.0</v>
      </c>
      <c r="I44" s="138" t="str">
        <f t="shared" si="259"/>
        <v>Paste Base</v>
      </c>
      <c r="J44" s="139">
        <f t="shared" si="15"/>
        <v>0</v>
      </c>
      <c r="K44" s="140">
        <f t="shared" si="16"/>
        <v>167</v>
      </c>
      <c r="L44" s="139">
        <v>200.0</v>
      </c>
      <c r="M44" s="139">
        <v>600.0</v>
      </c>
      <c r="N44" s="139">
        <v>2.0</v>
      </c>
      <c r="O44" s="141"/>
      <c r="P44" s="139"/>
      <c r="Q44" s="139">
        <v>1.0</v>
      </c>
      <c r="R44" s="141"/>
      <c r="S44" s="141"/>
      <c r="T44" s="141"/>
      <c r="U44" s="141"/>
      <c r="V44" s="141"/>
      <c r="W44" s="139">
        <v>2.0</v>
      </c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2"/>
      <c r="BE44" s="143">
        <f t="shared" si="17"/>
        <v>0</v>
      </c>
      <c r="BF44" s="143">
        <f t="shared" si="18"/>
        <v>0</v>
      </c>
      <c r="BG44" s="143">
        <f t="shared" ref="BG44:BT44" si="278">$G44*N44*IF($H44&gt;50,18,36)+$F44*N44*IF($H44&gt;50,4,8)+$E44*N44</f>
        <v>0</v>
      </c>
      <c r="BH44" s="143">
        <f t="shared" si="278"/>
        <v>0</v>
      </c>
      <c r="BI44" s="143">
        <f t="shared" si="278"/>
        <v>0</v>
      </c>
      <c r="BJ44" s="143">
        <f t="shared" si="278"/>
        <v>0</v>
      </c>
      <c r="BK44" s="143">
        <f t="shared" si="278"/>
        <v>0</v>
      </c>
      <c r="BL44" s="143">
        <f t="shared" si="278"/>
        <v>0</v>
      </c>
      <c r="BM44" s="143">
        <f t="shared" si="278"/>
        <v>0</v>
      </c>
      <c r="BN44" s="143">
        <f t="shared" si="278"/>
        <v>0</v>
      </c>
      <c r="BO44" s="143">
        <f t="shared" si="278"/>
        <v>0</v>
      </c>
      <c r="BP44" s="143">
        <f t="shared" si="278"/>
        <v>0</v>
      </c>
      <c r="BQ44" s="143">
        <f t="shared" si="278"/>
        <v>0</v>
      </c>
      <c r="BR44" s="143">
        <f t="shared" si="278"/>
        <v>0</v>
      </c>
      <c r="BS44" s="143">
        <f t="shared" si="278"/>
        <v>0</v>
      </c>
      <c r="BT44" s="143">
        <f t="shared" si="278"/>
        <v>0</v>
      </c>
      <c r="BU44" s="143">
        <f t="shared" si="20"/>
        <v>0</v>
      </c>
      <c r="BV44" s="143">
        <f t="shared" si="21"/>
        <v>0</v>
      </c>
      <c r="BW44" s="143">
        <f t="shared" ref="BW44:BX44" si="279">$G44*AD44*IF($H44&gt;50,18,36)+$F44*AD44*IF($H44&gt;50,4,8)+$E44*AD44</f>
        <v>0</v>
      </c>
      <c r="BX44" s="143">
        <f t="shared" si="279"/>
        <v>0</v>
      </c>
      <c r="BY44" s="143">
        <f t="shared" si="23"/>
        <v>0</v>
      </c>
      <c r="BZ44" s="143">
        <f t="shared" si="24"/>
        <v>0</v>
      </c>
      <c r="CA44" s="143">
        <f t="shared" si="25"/>
        <v>0</v>
      </c>
      <c r="CB44" s="143">
        <f t="shared" si="26"/>
        <v>0</v>
      </c>
      <c r="CC44" s="143">
        <f t="shared" si="27"/>
        <v>0</v>
      </c>
      <c r="CD44" s="143">
        <f t="shared" si="28"/>
        <v>0</v>
      </c>
      <c r="CE44" s="143">
        <f t="shared" si="29"/>
        <v>0</v>
      </c>
      <c r="CF44" s="143">
        <f t="shared" si="30"/>
        <v>0</v>
      </c>
      <c r="CG44" s="143">
        <f t="shared" si="31"/>
        <v>0</v>
      </c>
      <c r="CH44" s="143">
        <f t="shared" si="32"/>
        <v>0</v>
      </c>
      <c r="CI44" s="143">
        <f t="shared" si="33"/>
        <v>0</v>
      </c>
      <c r="CJ44" s="143">
        <f t="shared" si="34"/>
        <v>0</v>
      </c>
      <c r="CK44" s="143">
        <f t="shared" ref="CK44:CV44" si="280">$G44*AR44*IF($H44&gt;50,18,36)+$F44*AR44*IF($H44&gt;50,4,8)+$E44*AR44</f>
        <v>0</v>
      </c>
      <c r="CL44" s="143">
        <f t="shared" si="280"/>
        <v>0</v>
      </c>
      <c r="CM44" s="143">
        <f t="shared" si="280"/>
        <v>0</v>
      </c>
      <c r="CN44" s="143">
        <f t="shared" si="280"/>
        <v>0</v>
      </c>
      <c r="CO44" s="143">
        <f t="shared" si="280"/>
        <v>0</v>
      </c>
      <c r="CP44" s="143">
        <f t="shared" si="280"/>
        <v>0</v>
      </c>
      <c r="CQ44" s="143">
        <f t="shared" si="280"/>
        <v>0</v>
      </c>
      <c r="CR44" s="143">
        <f t="shared" si="280"/>
        <v>0</v>
      </c>
      <c r="CS44" s="143">
        <f t="shared" si="280"/>
        <v>0</v>
      </c>
      <c r="CT44" s="143">
        <f t="shared" si="280"/>
        <v>0</v>
      </c>
      <c r="CU44" s="143">
        <f t="shared" si="280"/>
        <v>0</v>
      </c>
      <c r="CV44" s="143">
        <f t="shared" si="280"/>
        <v>0</v>
      </c>
      <c r="CW44" s="143"/>
      <c r="CX44" s="143">
        <f t="shared" ref="CX44:DJ44" si="281">O44*BH$2/($H44/50)^2</f>
        <v>0</v>
      </c>
      <c r="CY44" s="143">
        <f t="shared" si="281"/>
        <v>0</v>
      </c>
      <c r="CZ44" s="143">
        <f t="shared" si="281"/>
        <v>2.5</v>
      </c>
      <c r="DA44" s="143">
        <f t="shared" si="281"/>
        <v>0</v>
      </c>
      <c r="DB44" s="143">
        <f t="shared" si="281"/>
        <v>0</v>
      </c>
      <c r="DC44" s="143">
        <f t="shared" si="281"/>
        <v>0</v>
      </c>
      <c r="DD44" s="143">
        <f t="shared" si="281"/>
        <v>0</v>
      </c>
      <c r="DE44" s="143">
        <f t="shared" si="281"/>
        <v>0</v>
      </c>
      <c r="DF44" s="143">
        <f t="shared" si="281"/>
        <v>0.5</v>
      </c>
      <c r="DG44" s="143">
        <f t="shared" si="281"/>
        <v>0</v>
      </c>
      <c r="DH44" s="143">
        <f t="shared" si="281"/>
        <v>0</v>
      </c>
      <c r="DI44" s="143">
        <f t="shared" si="281"/>
        <v>0</v>
      </c>
      <c r="DJ44" s="143">
        <f t="shared" si="281"/>
        <v>0</v>
      </c>
      <c r="DK44" s="143">
        <f t="shared" si="37"/>
        <v>0</v>
      </c>
      <c r="DL44" s="143">
        <f t="shared" si="38"/>
        <v>0</v>
      </c>
      <c r="DM44" s="143">
        <f t="shared" ref="DM44:DN44" si="282">AD44*BW$2/($H44/50)^2</f>
        <v>0</v>
      </c>
      <c r="DN44" s="143">
        <f t="shared" si="282"/>
        <v>0</v>
      </c>
      <c r="DO44" s="143">
        <f t="shared" si="40"/>
        <v>0</v>
      </c>
      <c r="DP44" s="143">
        <f t="shared" si="41"/>
        <v>0</v>
      </c>
      <c r="DQ44" s="143">
        <f t="shared" si="42"/>
        <v>0</v>
      </c>
      <c r="DR44" s="143">
        <f t="shared" si="43"/>
        <v>0</v>
      </c>
      <c r="DS44" s="143">
        <f t="shared" si="44"/>
        <v>0</v>
      </c>
      <c r="DT44" s="143">
        <f t="shared" si="45"/>
        <v>0</v>
      </c>
      <c r="DU44" s="143">
        <f t="shared" si="46"/>
        <v>0</v>
      </c>
      <c r="DV44" s="143">
        <f t="shared" si="47"/>
        <v>0</v>
      </c>
      <c r="DW44" s="143">
        <f t="shared" si="48"/>
        <v>0</v>
      </c>
      <c r="DX44" s="143">
        <f t="shared" si="49"/>
        <v>0</v>
      </c>
      <c r="DY44" s="143">
        <f t="shared" si="50"/>
        <v>0</v>
      </c>
      <c r="DZ44" s="143">
        <f t="shared" si="51"/>
        <v>0</v>
      </c>
      <c r="EA44" s="143">
        <f t="shared" ref="EA44:EL44" si="283">AR44*CK$2/($H44/50)^2</f>
        <v>0</v>
      </c>
      <c r="EB44" s="143">
        <f t="shared" si="283"/>
        <v>0</v>
      </c>
      <c r="EC44" s="143">
        <f t="shared" si="283"/>
        <v>0</v>
      </c>
      <c r="ED44" s="143">
        <f t="shared" si="283"/>
        <v>0</v>
      </c>
      <c r="EE44" s="143">
        <f t="shared" si="283"/>
        <v>0</v>
      </c>
      <c r="EF44" s="143">
        <f t="shared" si="283"/>
        <v>0</v>
      </c>
      <c r="EG44" s="143">
        <f t="shared" si="283"/>
        <v>0</v>
      </c>
      <c r="EH44" s="143">
        <f t="shared" si="283"/>
        <v>0</v>
      </c>
      <c r="EI44" s="143">
        <f t="shared" si="283"/>
        <v>0</v>
      </c>
      <c r="EJ44" s="143">
        <f t="shared" si="283"/>
        <v>0</v>
      </c>
      <c r="EK44" s="143">
        <f t="shared" si="283"/>
        <v>0</v>
      </c>
      <c r="EL44" s="143">
        <f t="shared" si="283"/>
        <v>0</v>
      </c>
    </row>
    <row r="45">
      <c r="A45" s="151" t="s">
        <v>101</v>
      </c>
      <c r="B45" s="132">
        <f t="shared" si="10"/>
        <v>0</v>
      </c>
      <c r="C45" s="144"/>
      <c r="D45" s="134">
        <f t="shared" si="11"/>
        <v>0</v>
      </c>
      <c r="E45" s="135">
        <f t="shared" si="12"/>
        <v>0</v>
      </c>
      <c r="F45" s="132">
        <f t="shared" si="13"/>
        <v>0</v>
      </c>
      <c r="G45" s="136">
        <f t="shared" si="14"/>
        <v>0</v>
      </c>
      <c r="H45" s="137">
        <v>100.0</v>
      </c>
      <c r="I45" s="138" t="str">
        <f t="shared" si="259"/>
        <v>Paste Base</v>
      </c>
      <c r="J45" s="139">
        <f t="shared" si="15"/>
        <v>0</v>
      </c>
      <c r="K45" s="140">
        <f t="shared" si="16"/>
        <v>178</v>
      </c>
      <c r="L45" s="139">
        <v>300.0</v>
      </c>
      <c r="M45" s="139">
        <v>1800.0</v>
      </c>
      <c r="N45" s="139">
        <v>4.0</v>
      </c>
      <c r="O45" s="141"/>
      <c r="P45" s="141"/>
      <c r="Q45" s="141"/>
      <c r="R45" s="141"/>
      <c r="S45" s="139">
        <v>1.0</v>
      </c>
      <c r="T45" s="141"/>
      <c r="U45" s="141"/>
      <c r="V45" s="141"/>
      <c r="W45" s="139">
        <v>4.0</v>
      </c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2"/>
      <c r="BE45" s="143">
        <f t="shared" si="17"/>
        <v>0</v>
      </c>
      <c r="BF45" s="143">
        <f t="shared" si="18"/>
        <v>0</v>
      </c>
      <c r="BG45" s="143">
        <f t="shared" ref="BG45:BT45" si="284">$G45*N45*IF($H45&gt;50,18,36)+$F45*N45*IF($H45&gt;50,4,8)+$E45*N45</f>
        <v>0</v>
      </c>
      <c r="BH45" s="143">
        <f t="shared" si="284"/>
        <v>0</v>
      </c>
      <c r="BI45" s="143">
        <f t="shared" si="284"/>
        <v>0</v>
      </c>
      <c r="BJ45" s="143">
        <f t="shared" si="284"/>
        <v>0</v>
      </c>
      <c r="BK45" s="143">
        <f t="shared" si="284"/>
        <v>0</v>
      </c>
      <c r="BL45" s="143">
        <f t="shared" si="284"/>
        <v>0</v>
      </c>
      <c r="BM45" s="143">
        <f t="shared" si="284"/>
        <v>0</v>
      </c>
      <c r="BN45" s="143">
        <f t="shared" si="284"/>
        <v>0</v>
      </c>
      <c r="BO45" s="143">
        <f t="shared" si="284"/>
        <v>0</v>
      </c>
      <c r="BP45" s="143">
        <f t="shared" si="284"/>
        <v>0</v>
      </c>
      <c r="BQ45" s="143">
        <f t="shared" si="284"/>
        <v>0</v>
      </c>
      <c r="BR45" s="143">
        <f t="shared" si="284"/>
        <v>0</v>
      </c>
      <c r="BS45" s="143">
        <f t="shared" si="284"/>
        <v>0</v>
      </c>
      <c r="BT45" s="143">
        <f t="shared" si="284"/>
        <v>0</v>
      </c>
      <c r="BU45" s="143">
        <f t="shared" si="20"/>
        <v>0</v>
      </c>
      <c r="BV45" s="143">
        <f t="shared" si="21"/>
        <v>0</v>
      </c>
      <c r="BW45" s="143">
        <f t="shared" ref="BW45:BX45" si="285">$G45*AD45*IF($H45&gt;50,18,36)+$F45*AD45*IF($H45&gt;50,4,8)+$E45*AD45</f>
        <v>0</v>
      </c>
      <c r="BX45" s="143">
        <f t="shared" si="285"/>
        <v>0</v>
      </c>
      <c r="BY45" s="143">
        <f t="shared" si="23"/>
        <v>0</v>
      </c>
      <c r="BZ45" s="143">
        <f t="shared" si="24"/>
        <v>0</v>
      </c>
      <c r="CA45" s="143">
        <f t="shared" si="25"/>
        <v>0</v>
      </c>
      <c r="CB45" s="143">
        <f t="shared" si="26"/>
        <v>0</v>
      </c>
      <c r="CC45" s="143">
        <f t="shared" si="27"/>
        <v>0</v>
      </c>
      <c r="CD45" s="143">
        <f t="shared" si="28"/>
        <v>0</v>
      </c>
      <c r="CE45" s="143">
        <f t="shared" si="29"/>
        <v>0</v>
      </c>
      <c r="CF45" s="143">
        <f t="shared" si="30"/>
        <v>0</v>
      </c>
      <c r="CG45" s="143">
        <f t="shared" si="31"/>
        <v>0</v>
      </c>
      <c r="CH45" s="143">
        <f t="shared" si="32"/>
        <v>0</v>
      </c>
      <c r="CI45" s="143">
        <f t="shared" si="33"/>
        <v>0</v>
      </c>
      <c r="CJ45" s="143">
        <f t="shared" si="34"/>
        <v>0</v>
      </c>
      <c r="CK45" s="143">
        <f t="shared" ref="CK45:CV45" si="286">$G45*AR45*IF($H45&gt;50,18,36)+$F45*AR45*IF($H45&gt;50,4,8)+$E45*AR45</f>
        <v>0</v>
      </c>
      <c r="CL45" s="143">
        <f t="shared" si="286"/>
        <v>0</v>
      </c>
      <c r="CM45" s="143">
        <f t="shared" si="286"/>
        <v>0</v>
      </c>
      <c r="CN45" s="143">
        <f t="shared" si="286"/>
        <v>0</v>
      </c>
      <c r="CO45" s="143">
        <f t="shared" si="286"/>
        <v>0</v>
      </c>
      <c r="CP45" s="143">
        <f t="shared" si="286"/>
        <v>0</v>
      </c>
      <c r="CQ45" s="143">
        <f t="shared" si="286"/>
        <v>0</v>
      </c>
      <c r="CR45" s="143">
        <f t="shared" si="286"/>
        <v>0</v>
      </c>
      <c r="CS45" s="143">
        <f t="shared" si="286"/>
        <v>0</v>
      </c>
      <c r="CT45" s="143">
        <f t="shared" si="286"/>
        <v>0</v>
      </c>
      <c r="CU45" s="143">
        <f t="shared" si="286"/>
        <v>0</v>
      </c>
      <c r="CV45" s="143">
        <f t="shared" si="286"/>
        <v>0</v>
      </c>
      <c r="CW45" s="143"/>
      <c r="CX45" s="143">
        <f t="shared" ref="CX45:DJ45" si="287">O45*BH$2/($H45/50)^2</f>
        <v>0</v>
      </c>
      <c r="CY45" s="143">
        <f t="shared" si="287"/>
        <v>0</v>
      </c>
      <c r="CZ45" s="143">
        <f t="shared" si="287"/>
        <v>0</v>
      </c>
      <c r="DA45" s="143">
        <f t="shared" si="287"/>
        <v>0</v>
      </c>
      <c r="DB45" s="143">
        <f t="shared" si="287"/>
        <v>12.5</v>
      </c>
      <c r="DC45" s="143">
        <f t="shared" si="287"/>
        <v>0</v>
      </c>
      <c r="DD45" s="143">
        <f t="shared" si="287"/>
        <v>0</v>
      </c>
      <c r="DE45" s="143">
        <f t="shared" si="287"/>
        <v>0</v>
      </c>
      <c r="DF45" s="143">
        <f t="shared" si="287"/>
        <v>1</v>
      </c>
      <c r="DG45" s="143">
        <f t="shared" si="287"/>
        <v>0</v>
      </c>
      <c r="DH45" s="143">
        <f t="shared" si="287"/>
        <v>0</v>
      </c>
      <c r="DI45" s="143">
        <f t="shared" si="287"/>
        <v>0</v>
      </c>
      <c r="DJ45" s="143">
        <f t="shared" si="287"/>
        <v>0</v>
      </c>
      <c r="DK45" s="143">
        <f t="shared" si="37"/>
        <v>0</v>
      </c>
      <c r="DL45" s="143">
        <f t="shared" si="38"/>
        <v>0</v>
      </c>
      <c r="DM45" s="143">
        <f t="shared" ref="DM45:DN45" si="288">AD45*BW$2/($H45/50)^2</f>
        <v>0</v>
      </c>
      <c r="DN45" s="143">
        <f t="shared" si="288"/>
        <v>0</v>
      </c>
      <c r="DO45" s="143">
        <f t="shared" si="40"/>
        <v>0</v>
      </c>
      <c r="DP45" s="143">
        <f t="shared" si="41"/>
        <v>0</v>
      </c>
      <c r="DQ45" s="143">
        <f t="shared" si="42"/>
        <v>0</v>
      </c>
      <c r="DR45" s="143">
        <f t="shared" si="43"/>
        <v>0</v>
      </c>
      <c r="DS45" s="143">
        <f t="shared" si="44"/>
        <v>0</v>
      </c>
      <c r="DT45" s="143">
        <f t="shared" si="45"/>
        <v>0</v>
      </c>
      <c r="DU45" s="143">
        <f t="shared" si="46"/>
        <v>0</v>
      </c>
      <c r="DV45" s="143">
        <f t="shared" si="47"/>
        <v>0</v>
      </c>
      <c r="DW45" s="143">
        <f t="shared" si="48"/>
        <v>0</v>
      </c>
      <c r="DX45" s="143">
        <f t="shared" si="49"/>
        <v>0</v>
      </c>
      <c r="DY45" s="143">
        <f t="shared" si="50"/>
        <v>0</v>
      </c>
      <c r="DZ45" s="143">
        <f t="shared" si="51"/>
        <v>0</v>
      </c>
      <c r="EA45" s="143">
        <f t="shared" ref="EA45:EL45" si="289">AR45*CK$2/($H45/50)^2</f>
        <v>0</v>
      </c>
      <c r="EB45" s="143">
        <f t="shared" si="289"/>
        <v>0</v>
      </c>
      <c r="EC45" s="143">
        <f t="shared" si="289"/>
        <v>0</v>
      </c>
      <c r="ED45" s="143">
        <f t="shared" si="289"/>
        <v>0</v>
      </c>
      <c r="EE45" s="143">
        <f t="shared" si="289"/>
        <v>0</v>
      </c>
      <c r="EF45" s="143">
        <f t="shared" si="289"/>
        <v>0</v>
      </c>
      <c r="EG45" s="143">
        <f t="shared" si="289"/>
        <v>0</v>
      </c>
      <c r="EH45" s="143">
        <f t="shared" si="289"/>
        <v>0</v>
      </c>
      <c r="EI45" s="143">
        <f t="shared" si="289"/>
        <v>0</v>
      </c>
      <c r="EJ45" s="143">
        <f t="shared" si="289"/>
        <v>0</v>
      </c>
      <c r="EK45" s="143">
        <f t="shared" si="289"/>
        <v>0</v>
      </c>
      <c r="EL45" s="143">
        <f t="shared" si="289"/>
        <v>0</v>
      </c>
    </row>
    <row r="46">
      <c r="A46" s="151" t="s">
        <v>102</v>
      </c>
      <c r="B46" s="132">
        <f t="shared" si="10"/>
        <v>0</v>
      </c>
      <c r="C46" s="148"/>
      <c r="D46" s="134">
        <f t="shared" si="11"/>
        <v>0</v>
      </c>
      <c r="E46" s="135">
        <f t="shared" si="12"/>
        <v>0</v>
      </c>
      <c r="F46" s="132">
        <f t="shared" si="13"/>
        <v>0</v>
      </c>
      <c r="G46" s="136">
        <f t="shared" si="14"/>
        <v>0</v>
      </c>
      <c r="H46" s="137">
        <v>100.0</v>
      </c>
      <c r="I46" s="138" t="str">
        <f t="shared" si="259"/>
        <v>Paste Base</v>
      </c>
      <c r="J46" s="139">
        <f t="shared" si="15"/>
        <v>0</v>
      </c>
      <c r="K46" s="140">
        <f t="shared" si="16"/>
        <v>167</v>
      </c>
      <c r="L46" s="139">
        <v>200.0</v>
      </c>
      <c r="M46" s="139">
        <v>600.0</v>
      </c>
      <c r="N46" s="139">
        <v>2.0</v>
      </c>
      <c r="O46" s="141"/>
      <c r="P46" s="139"/>
      <c r="Q46" s="139">
        <v>1.0</v>
      </c>
      <c r="R46" s="141"/>
      <c r="S46" s="141"/>
      <c r="T46" s="141"/>
      <c r="U46" s="141"/>
      <c r="V46" s="141"/>
      <c r="W46" s="139">
        <v>2.0</v>
      </c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2"/>
      <c r="BE46" s="143">
        <f t="shared" si="17"/>
        <v>0</v>
      </c>
      <c r="BF46" s="143">
        <f t="shared" si="18"/>
        <v>0</v>
      </c>
      <c r="BG46" s="143">
        <f t="shared" ref="BG46:BT46" si="290">$G46*N46*IF($H46&gt;50,18,36)+$F46*N46*IF($H46&gt;50,4,8)+$E46*N46</f>
        <v>0</v>
      </c>
      <c r="BH46" s="143">
        <f t="shared" si="290"/>
        <v>0</v>
      </c>
      <c r="BI46" s="143">
        <f t="shared" si="290"/>
        <v>0</v>
      </c>
      <c r="BJ46" s="143">
        <f t="shared" si="290"/>
        <v>0</v>
      </c>
      <c r="BK46" s="143">
        <f t="shared" si="290"/>
        <v>0</v>
      </c>
      <c r="BL46" s="143">
        <f t="shared" si="290"/>
        <v>0</v>
      </c>
      <c r="BM46" s="143">
        <f t="shared" si="290"/>
        <v>0</v>
      </c>
      <c r="BN46" s="143">
        <f t="shared" si="290"/>
        <v>0</v>
      </c>
      <c r="BO46" s="143">
        <f t="shared" si="290"/>
        <v>0</v>
      </c>
      <c r="BP46" s="143">
        <f t="shared" si="290"/>
        <v>0</v>
      </c>
      <c r="BQ46" s="143">
        <f t="shared" si="290"/>
        <v>0</v>
      </c>
      <c r="BR46" s="143">
        <f t="shared" si="290"/>
        <v>0</v>
      </c>
      <c r="BS46" s="143">
        <f t="shared" si="290"/>
        <v>0</v>
      </c>
      <c r="BT46" s="143">
        <f t="shared" si="290"/>
        <v>0</v>
      </c>
      <c r="BU46" s="143">
        <f t="shared" si="20"/>
        <v>0</v>
      </c>
      <c r="BV46" s="143">
        <f t="shared" si="21"/>
        <v>0</v>
      </c>
      <c r="BW46" s="143">
        <f t="shared" ref="BW46:BX46" si="291">$G46*AD46*IF($H46&gt;50,18,36)+$F46*AD46*IF($H46&gt;50,4,8)+$E46*AD46</f>
        <v>0</v>
      </c>
      <c r="BX46" s="143">
        <f t="shared" si="291"/>
        <v>0</v>
      </c>
      <c r="BY46" s="143">
        <f t="shared" si="23"/>
        <v>0</v>
      </c>
      <c r="BZ46" s="143">
        <f t="shared" si="24"/>
        <v>0</v>
      </c>
      <c r="CA46" s="143">
        <f t="shared" si="25"/>
        <v>0</v>
      </c>
      <c r="CB46" s="143">
        <f t="shared" si="26"/>
        <v>0</v>
      </c>
      <c r="CC46" s="143">
        <f t="shared" si="27"/>
        <v>0</v>
      </c>
      <c r="CD46" s="143">
        <f t="shared" si="28"/>
        <v>0</v>
      </c>
      <c r="CE46" s="143">
        <f t="shared" si="29"/>
        <v>0</v>
      </c>
      <c r="CF46" s="143">
        <f t="shared" si="30"/>
        <v>0</v>
      </c>
      <c r="CG46" s="143">
        <f t="shared" si="31"/>
        <v>0</v>
      </c>
      <c r="CH46" s="143">
        <f t="shared" si="32"/>
        <v>0</v>
      </c>
      <c r="CI46" s="143">
        <f t="shared" si="33"/>
        <v>0</v>
      </c>
      <c r="CJ46" s="143">
        <f t="shared" si="34"/>
        <v>0</v>
      </c>
      <c r="CK46" s="143">
        <f t="shared" ref="CK46:CV46" si="292">$G46*AR46*IF($H46&gt;50,18,36)+$F46*AR46*IF($H46&gt;50,4,8)+$E46*AR46</f>
        <v>0</v>
      </c>
      <c r="CL46" s="143">
        <f t="shared" si="292"/>
        <v>0</v>
      </c>
      <c r="CM46" s="143">
        <f t="shared" si="292"/>
        <v>0</v>
      </c>
      <c r="CN46" s="143">
        <f t="shared" si="292"/>
        <v>0</v>
      </c>
      <c r="CO46" s="143">
        <f t="shared" si="292"/>
        <v>0</v>
      </c>
      <c r="CP46" s="143">
        <f t="shared" si="292"/>
        <v>0</v>
      </c>
      <c r="CQ46" s="143">
        <f t="shared" si="292"/>
        <v>0</v>
      </c>
      <c r="CR46" s="143">
        <f t="shared" si="292"/>
        <v>0</v>
      </c>
      <c r="CS46" s="143">
        <f t="shared" si="292"/>
        <v>0</v>
      </c>
      <c r="CT46" s="143">
        <f t="shared" si="292"/>
        <v>0</v>
      </c>
      <c r="CU46" s="143">
        <f t="shared" si="292"/>
        <v>0</v>
      </c>
      <c r="CV46" s="143">
        <f t="shared" si="292"/>
        <v>0</v>
      </c>
      <c r="CW46" s="143"/>
      <c r="CX46" s="143">
        <f t="shared" ref="CX46:DJ46" si="293">O46*BH$2/($H46/50)^2</f>
        <v>0</v>
      </c>
      <c r="CY46" s="143">
        <f t="shared" si="293"/>
        <v>0</v>
      </c>
      <c r="CZ46" s="143">
        <f t="shared" si="293"/>
        <v>2.5</v>
      </c>
      <c r="DA46" s="143">
        <f t="shared" si="293"/>
        <v>0</v>
      </c>
      <c r="DB46" s="143">
        <f t="shared" si="293"/>
        <v>0</v>
      </c>
      <c r="DC46" s="143">
        <f t="shared" si="293"/>
        <v>0</v>
      </c>
      <c r="DD46" s="143">
        <f t="shared" si="293"/>
        <v>0</v>
      </c>
      <c r="DE46" s="143">
        <f t="shared" si="293"/>
        <v>0</v>
      </c>
      <c r="DF46" s="143">
        <f t="shared" si="293"/>
        <v>0.5</v>
      </c>
      <c r="DG46" s="143">
        <f t="shared" si="293"/>
        <v>0</v>
      </c>
      <c r="DH46" s="143">
        <f t="shared" si="293"/>
        <v>0</v>
      </c>
      <c r="DI46" s="143">
        <f t="shared" si="293"/>
        <v>0</v>
      </c>
      <c r="DJ46" s="143">
        <f t="shared" si="293"/>
        <v>0</v>
      </c>
      <c r="DK46" s="143">
        <f t="shared" si="37"/>
        <v>0</v>
      </c>
      <c r="DL46" s="143">
        <f t="shared" si="38"/>
        <v>0</v>
      </c>
      <c r="DM46" s="143">
        <f t="shared" ref="DM46:DN46" si="294">AD46*BW$2/($H46/50)^2</f>
        <v>0</v>
      </c>
      <c r="DN46" s="143">
        <f t="shared" si="294"/>
        <v>0</v>
      </c>
      <c r="DO46" s="143">
        <f t="shared" si="40"/>
        <v>0</v>
      </c>
      <c r="DP46" s="143">
        <f t="shared" si="41"/>
        <v>0</v>
      </c>
      <c r="DQ46" s="143">
        <f t="shared" si="42"/>
        <v>0</v>
      </c>
      <c r="DR46" s="143">
        <f t="shared" si="43"/>
        <v>0</v>
      </c>
      <c r="DS46" s="143">
        <f t="shared" si="44"/>
        <v>0</v>
      </c>
      <c r="DT46" s="143">
        <f t="shared" si="45"/>
        <v>0</v>
      </c>
      <c r="DU46" s="143">
        <f t="shared" si="46"/>
        <v>0</v>
      </c>
      <c r="DV46" s="143">
        <f t="shared" si="47"/>
        <v>0</v>
      </c>
      <c r="DW46" s="143">
        <f t="shared" si="48"/>
        <v>0</v>
      </c>
      <c r="DX46" s="143">
        <f t="shared" si="49"/>
        <v>0</v>
      </c>
      <c r="DY46" s="143">
        <f t="shared" si="50"/>
        <v>0</v>
      </c>
      <c r="DZ46" s="143">
        <f t="shared" si="51"/>
        <v>0</v>
      </c>
      <c r="EA46" s="143">
        <f t="shared" ref="EA46:EL46" si="295">AR46*CK$2/($H46/50)^2</f>
        <v>0</v>
      </c>
      <c r="EB46" s="143">
        <f t="shared" si="295"/>
        <v>0</v>
      </c>
      <c r="EC46" s="143">
        <f t="shared" si="295"/>
        <v>0</v>
      </c>
      <c r="ED46" s="143">
        <f t="shared" si="295"/>
        <v>0</v>
      </c>
      <c r="EE46" s="143">
        <f t="shared" si="295"/>
        <v>0</v>
      </c>
      <c r="EF46" s="143">
        <f t="shared" si="295"/>
        <v>0</v>
      </c>
      <c r="EG46" s="143">
        <f t="shared" si="295"/>
        <v>0</v>
      </c>
      <c r="EH46" s="143">
        <f t="shared" si="295"/>
        <v>0</v>
      </c>
      <c r="EI46" s="143">
        <f t="shared" si="295"/>
        <v>0</v>
      </c>
      <c r="EJ46" s="143">
        <f t="shared" si="295"/>
        <v>0</v>
      </c>
      <c r="EK46" s="143">
        <f t="shared" si="295"/>
        <v>0</v>
      </c>
      <c r="EL46" s="143">
        <f t="shared" si="295"/>
        <v>0</v>
      </c>
    </row>
    <row r="47">
      <c r="A47" s="151" t="s">
        <v>103</v>
      </c>
      <c r="B47" s="132">
        <f t="shared" si="10"/>
        <v>0</v>
      </c>
      <c r="C47" s="148"/>
      <c r="D47" s="134">
        <f t="shared" si="11"/>
        <v>0</v>
      </c>
      <c r="E47" s="135">
        <f t="shared" si="12"/>
        <v>0</v>
      </c>
      <c r="F47" s="132">
        <f t="shared" si="13"/>
        <v>0</v>
      </c>
      <c r="G47" s="136">
        <f t="shared" si="14"/>
        <v>0</v>
      </c>
      <c r="H47" s="137">
        <v>100.0</v>
      </c>
      <c r="I47" s="138" t="str">
        <f t="shared" si="259"/>
        <v>Paste Base</v>
      </c>
      <c r="J47" s="139">
        <f t="shared" si="15"/>
        <v>0</v>
      </c>
      <c r="K47" s="140">
        <f t="shared" si="16"/>
        <v>178</v>
      </c>
      <c r="L47" s="139">
        <v>300.0</v>
      </c>
      <c r="M47" s="139">
        <v>1800.0</v>
      </c>
      <c r="N47" s="139">
        <v>4.0</v>
      </c>
      <c r="O47" s="141"/>
      <c r="P47" s="141"/>
      <c r="Q47" s="141"/>
      <c r="R47" s="141"/>
      <c r="S47" s="139">
        <v>1.0</v>
      </c>
      <c r="T47" s="141"/>
      <c r="U47" s="141"/>
      <c r="V47" s="141"/>
      <c r="W47" s="139">
        <v>4.0</v>
      </c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2"/>
      <c r="BE47" s="143">
        <f t="shared" si="17"/>
        <v>0</v>
      </c>
      <c r="BF47" s="143">
        <f t="shared" si="18"/>
        <v>0</v>
      </c>
      <c r="BG47" s="143">
        <f t="shared" ref="BG47:BT47" si="296">$G47*N47*IF($H47&gt;50,18,36)+$F47*N47*IF($H47&gt;50,4,8)+$E47*N47</f>
        <v>0</v>
      </c>
      <c r="BH47" s="143">
        <f t="shared" si="296"/>
        <v>0</v>
      </c>
      <c r="BI47" s="143">
        <f t="shared" si="296"/>
        <v>0</v>
      </c>
      <c r="BJ47" s="143">
        <f t="shared" si="296"/>
        <v>0</v>
      </c>
      <c r="BK47" s="143">
        <f t="shared" si="296"/>
        <v>0</v>
      </c>
      <c r="BL47" s="143">
        <f t="shared" si="296"/>
        <v>0</v>
      </c>
      <c r="BM47" s="143">
        <f t="shared" si="296"/>
        <v>0</v>
      </c>
      <c r="BN47" s="143">
        <f t="shared" si="296"/>
        <v>0</v>
      </c>
      <c r="BO47" s="143">
        <f t="shared" si="296"/>
        <v>0</v>
      </c>
      <c r="BP47" s="143">
        <f t="shared" si="296"/>
        <v>0</v>
      </c>
      <c r="BQ47" s="143">
        <f t="shared" si="296"/>
        <v>0</v>
      </c>
      <c r="BR47" s="143">
        <f t="shared" si="296"/>
        <v>0</v>
      </c>
      <c r="BS47" s="143">
        <f t="shared" si="296"/>
        <v>0</v>
      </c>
      <c r="BT47" s="143">
        <f t="shared" si="296"/>
        <v>0</v>
      </c>
      <c r="BU47" s="143">
        <f t="shared" si="20"/>
        <v>0</v>
      </c>
      <c r="BV47" s="143">
        <f t="shared" si="21"/>
        <v>0</v>
      </c>
      <c r="BW47" s="143">
        <f t="shared" ref="BW47:BX47" si="297">$G47*AD47*IF($H47&gt;50,18,36)+$F47*AD47*IF($H47&gt;50,4,8)+$E47*AD47</f>
        <v>0</v>
      </c>
      <c r="BX47" s="143">
        <f t="shared" si="297"/>
        <v>0</v>
      </c>
      <c r="BY47" s="143">
        <f t="shared" si="23"/>
        <v>0</v>
      </c>
      <c r="BZ47" s="143">
        <f t="shared" si="24"/>
        <v>0</v>
      </c>
      <c r="CA47" s="143">
        <f t="shared" si="25"/>
        <v>0</v>
      </c>
      <c r="CB47" s="143">
        <f t="shared" si="26"/>
        <v>0</v>
      </c>
      <c r="CC47" s="143">
        <f t="shared" si="27"/>
        <v>0</v>
      </c>
      <c r="CD47" s="143">
        <f t="shared" si="28"/>
        <v>0</v>
      </c>
      <c r="CE47" s="143">
        <f t="shared" si="29"/>
        <v>0</v>
      </c>
      <c r="CF47" s="143">
        <f t="shared" si="30"/>
        <v>0</v>
      </c>
      <c r="CG47" s="143">
        <f t="shared" si="31"/>
        <v>0</v>
      </c>
      <c r="CH47" s="143">
        <f t="shared" si="32"/>
        <v>0</v>
      </c>
      <c r="CI47" s="143">
        <f t="shared" si="33"/>
        <v>0</v>
      </c>
      <c r="CJ47" s="143">
        <f t="shared" si="34"/>
        <v>0</v>
      </c>
      <c r="CK47" s="143">
        <f t="shared" ref="CK47:CV47" si="298">$G47*AR47*IF($H47&gt;50,18,36)+$F47*AR47*IF($H47&gt;50,4,8)+$E47*AR47</f>
        <v>0</v>
      </c>
      <c r="CL47" s="143">
        <f t="shared" si="298"/>
        <v>0</v>
      </c>
      <c r="CM47" s="143">
        <f t="shared" si="298"/>
        <v>0</v>
      </c>
      <c r="CN47" s="143">
        <f t="shared" si="298"/>
        <v>0</v>
      </c>
      <c r="CO47" s="143">
        <f t="shared" si="298"/>
        <v>0</v>
      </c>
      <c r="CP47" s="143">
        <f t="shared" si="298"/>
        <v>0</v>
      </c>
      <c r="CQ47" s="143">
        <f t="shared" si="298"/>
        <v>0</v>
      </c>
      <c r="CR47" s="143">
        <f t="shared" si="298"/>
        <v>0</v>
      </c>
      <c r="CS47" s="143">
        <f t="shared" si="298"/>
        <v>0</v>
      </c>
      <c r="CT47" s="143">
        <f t="shared" si="298"/>
        <v>0</v>
      </c>
      <c r="CU47" s="143">
        <f t="shared" si="298"/>
        <v>0</v>
      </c>
      <c r="CV47" s="143">
        <f t="shared" si="298"/>
        <v>0</v>
      </c>
      <c r="CW47" s="143"/>
      <c r="CX47" s="143">
        <f t="shared" ref="CX47:DJ47" si="299">O47*BH$2/($H47/50)^2</f>
        <v>0</v>
      </c>
      <c r="CY47" s="143">
        <f t="shared" si="299"/>
        <v>0</v>
      </c>
      <c r="CZ47" s="143">
        <f t="shared" si="299"/>
        <v>0</v>
      </c>
      <c r="DA47" s="143">
        <f t="shared" si="299"/>
        <v>0</v>
      </c>
      <c r="DB47" s="143">
        <f t="shared" si="299"/>
        <v>12.5</v>
      </c>
      <c r="DC47" s="143">
        <f t="shared" si="299"/>
        <v>0</v>
      </c>
      <c r="DD47" s="143">
        <f t="shared" si="299"/>
        <v>0</v>
      </c>
      <c r="DE47" s="143">
        <f t="shared" si="299"/>
        <v>0</v>
      </c>
      <c r="DF47" s="143">
        <f t="shared" si="299"/>
        <v>1</v>
      </c>
      <c r="DG47" s="143">
        <f t="shared" si="299"/>
        <v>0</v>
      </c>
      <c r="DH47" s="143">
        <f t="shared" si="299"/>
        <v>0</v>
      </c>
      <c r="DI47" s="143">
        <f t="shared" si="299"/>
        <v>0</v>
      </c>
      <c r="DJ47" s="143">
        <f t="shared" si="299"/>
        <v>0</v>
      </c>
      <c r="DK47" s="143">
        <f t="shared" si="37"/>
        <v>0</v>
      </c>
      <c r="DL47" s="143">
        <f t="shared" si="38"/>
        <v>0</v>
      </c>
      <c r="DM47" s="143">
        <f t="shared" ref="DM47:DN47" si="300">AD47*BW$2/($H47/50)^2</f>
        <v>0</v>
      </c>
      <c r="DN47" s="143">
        <f t="shared" si="300"/>
        <v>0</v>
      </c>
      <c r="DO47" s="143">
        <f t="shared" si="40"/>
        <v>0</v>
      </c>
      <c r="DP47" s="143">
        <f t="shared" si="41"/>
        <v>0</v>
      </c>
      <c r="DQ47" s="143">
        <f t="shared" si="42"/>
        <v>0</v>
      </c>
      <c r="DR47" s="143">
        <f t="shared" si="43"/>
        <v>0</v>
      </c>
      <c r="DS47" s="143">
        <f t="shared" si="44"/>
        <v>0</v>
      </c>
      <c r="DT47" s="143">
        <f t="shared" si="45"/>
        <v>0</v>
      </c>
      <c r="DU47" s="143">
        <f t="shared" si="46"/>
        <v>0</v>
      </c>
      <c r="DV47" s="143">
        <f t="shared" si="47"/>
        <v>0</v>
      </c>
      <c r="DW47" s="143">
        <f t="shared" si="48"/>
        <v>0</v>
      </c>
      <c r="DX47" s="143">
        <f t="shared" si="49"/>
        <v>0</v>
      </c>
      <c r="DY47" s="143">
        <f t="shared" si="50"/>
        <v>0</v>
      </c>
      <c r="DZ47" s="143">
        <f t="shared" si="51"/>
        <v>0</v>
      </c>
      <c r="EA47" s="143">
        <f t="shared" ref="EA47:EL47" si="301">AR47*CK$2/($H47/50)^2</f>
        <v>0</v>
      </c>
      <c r="EB47" s="143">
        <f t="shared" si="301"/>
        <v>0</v>
      </c>
      <c r="EC47" s="143">
        <f t="shared" si="301"/>
        <v>0</v>
      </c>
      <c r="ED47" s="143">
        <f t="shared" si="301"/>
        <v>0</v>
      </c>
      <c r="EE47" s="143">
        <f t="shared" si="301"/>
        <v>0</v>
      </c>
      <c r="EF47" s="143">
        <f t="shared" si="301"/>
        <v>0</v>
      </c>
      <c r="EG47" s="143">
        <f t="shared" si="301"/>
        <v>0</v>
      </c>
      <c r="EH47" s="143">
        <f t="shared" si="301"/>
        <v>0</v>
      </c>
      <c r="EI47" s="143">
        <f t="shared" si="301"/>
        <v>0</v>
      </c>
      <c r="EJ47" s="143">
        <f t="shared" si="301"/>
        <v>0</v>
      </c>
      <c r="EK47" s="143">
        <f t="shared" si="301"/>
        <v>0</v>
      </c>
      <c r="EL47" s="143">
        <f t="shared" si="301"/>
        <v>0</v>
      </c>
    </row>
    <row r="48">
      <c r="A48" s="151" t="s">
        <v>104</v>
      </c>
      <c r="B48" s="132">
        <f t="shared" si="10"/>
        <v>0</v>
      </c>
      <c r="C48" s="148"/>
      <c r="D48" s="134">
        <f t="shared" si="11"/>
        <v>0</v>
      </c>
      <c r="E48" s="135">
        <f t="shared" si="12"/>
        <v>0</v>
      </c>
      <c r="F48" s="132">
        <f t="shared" si="13"/>
        <v>0</v>
      </c>
      <c r="G48" s="136">
        <f t="shared" si="14"/>
        <v>0</v>
      </c>
      <c r="H48" s="137">
        <v>100.0</v>
      </c>
      <c r="I48" s="138" t="str">
        <f t="shared" si="259"/>
        <v>Paste Base</v>
      </c>
      <c r="J48" s="139">
        <f t="shared" si="15"/>
        <v>0</v>
      </c>
      <c r="K48" s="140">
        <f t="shared" si="16"/>
        <v>178</v>
      </c>
      <c r="L48" s="139">
        <v>200.0</v>
      </c>
      <c r="M48" s="139">
        <v>600.0</v>
      </c>
      <c r="N48" s="139">
        <v>2.0</v>
      </c>
      <c r="O48" s="141"/>
      <c r="P48" s="141"/>
      <c r="Q48" s="141"/>
      <c r="R48" s="139">
        <v>1.0</v>
      </c>
      <c r="S48" s="139">
        <v>1.0</v>
      </c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2"/>
      <c r="BE48" s="143">
        <f t="shared" si="17"/>
        <v>0</v>
      </c>
      <c r="BF48" s="143">
        <f t="shared" si="18"/>
        <v>0</v>
      </c>
      <c r="BG48" s="143">
        <f t="shared" ref="BG48:BT48" si="302">$G48*N48*IF($H48&gt;50,18,36)+$F48*N48*IF($H48&gt;50,4,8)+$E48*N48</f>
        <v>0</v>
      </c>
      <c r="BH48" s="143">
        <f t="shared" si="302"/>
        <v>0</v>
      </c>
      <c r="BI48" s="143">
        <f t="shared" si="302"/>
        <v>0</v>
      </c>
      <c r="BJ48" s="143">
        <f t="shared" si="302"/>
        <v>0</v>
      </c>
      <c r="BK48" s="143">
        <f t="shared" si="302"/>
        <v>0</v>
      </c>
      <c r="BL48" s="143">
        <f t="shared" si="302"/>
        <v>0</v>
      </c>
      <c r="BM48" s="143">
        <f t="shared" si="302"/>
        <v>0</v>
      </c>
      <c r="BN48" s="143">
        <f t="shared" si="302"/>
        <v>0</v>
      </c>
      <c r="BO48" s="143">
        <f t="shared" si="302"/>
        <v>0</v>
      </c>
      <c r="BP48" s="143">
        <f t="shared" si="302"/>
        <v>0</v>
      </c>
      <c r="BQ48" s="143">
        <f t="shared" si="302"/>
        <v>0</v>
      </c>
      <c r="BR48" s="143">
        <f t="shared" si="302"/>
        <v>0</v>
      </c>
      <c r="BS48" s="143">
        <f t="shared" si="302"/>
        <v>0</v>
      </c>
      <c r="BT48" s="143">
        <f t="shared" si="302"/>
        <v>0</v>
      </c>
      <c r="BU48" s="143">
        <f t="shared" si="20"/>
        <v>0</v>
      </c>
      <c r="BV48" s="143">
        <f t="shared" si="21"/>
        <v>0</v>
      </c>
      <c r="BW48" s="143">
        <f t="shared" ref="BW48:BX48" si="303">$G48*AD48*IF($H48&gt;50,18,36)+$F48*AD48*IF($H48&gt;50,4,8)+$E48*AD48</f>
        <v>0</v>
      </c>
      <c r="BX48" s="143">
        <f t="shared" si="303"/>
        <v>0</v>
      </c>
      <c r="BY48" s="143">
        <f t="shared" si="23"/>
        <v>0</v>
      </c>
      <c r="BZ48" s="143">
        <f t="shared" si="24"/>
        <v>0</v>
      </c>
      <c r="CA48" s="143">
        <f t="shared" si="25"/>
        <v>0</v>
      </c>
      <c r="CB48" s="143">
        <f t="shared" si="26"/>
        <v>0</v>
      </c>
      <c r="CC48" s="143">
        <f t="shared" si="27"/>
        <v>0</v>
      </c>
      <c r="CD48" s="143">
        <f t="shared" si="28"/>
        <v>0</v>
      </c>
      <c r="CE48" s="143">
        <f t="shared" si="29"/>
        <v>0</v>
      </c>
      <c r="CF48" s="143">
        <f t="shared" si="30"/>
        <v>0</v>
      </c>
      <c r="CG48" s="143">
        <f t="shared" si="31"/>
        <v>0</v>
      </c>
      <c r="CH48" s="143">
        <f t="shared" si="32"/>
        <v>0</v>
      </c>
      <c r="CI48" s="143">
        <f t="shared" si="33"/>
        <v>0</v>
      </c>
      <c r="CJ48" s="143">
        <f t="shared" si="34"/>
        <v>0</v>
      </c>
      <c r="CK48" s="143">
        <f t="shared" ref="CK48:CV48" si="304">$G48*AR48*IF($H48&gt;50,18,36)+$F48*AR48*IF($H48&gt;50,4,8)+$E48*AR48</f>
        <v>0</v>
      </c>
      <c r="CL48" s="143">
        <f t="shared" si="304"/>
        <v>0</v>
      </c>
      <c r="CM48" s="143">
        <f t="shared" si="304"/>
        <v>0</v>
      </c>
      <c r="CN48" s="143">
        <f t="shared" si="304"/>
        <v>0</v>
      </c>
      <c r="CO48" s="143">
        <f t="shared" si="304"/>
        <v>0</v>
      </c>
      <c r="CP48" s="143">
        <f t="shared" si="304"/>
        <v>0</v>
      </c>
      <c r="CQ48" s="143">
        <f t="shared" si="304"/>
        <v>0</v>
      </c>
      <c r="CR48" s="143">
        <f t="shared" si="304"/>
        <v>0</v>
      </c>
      <c r="CS48" s="143">
        <f t="shared" si="304"/>
        <v>0</v>
      </c>
      <c r="CT48" s="143">
        <f t="shared" si="304"/>
        <v>0</v>
      </c>
      <c r="CU48" s="143">
        <f t="shared" si="304"/>
        <v>0</v>
      </c>
      <c r="CV48" s="143">
        <f t="shared" si="304"/>
        <v>0</v>
      </c>
      <c r="CW48" s="143"/>
      <c r="CX48" s="143">
        <f t="shared" ref="CX48:DJ48" si="305">O48*BH$2/($H48/50)^2</f>
        <v>0</v>
      </c>
      <c r="CY48" s="143">
        <f t="shared" si="305"/>
        <v>0</v>
      </c>
      <c r="CZ48" s="143">
        <f t="shared" si="305"/>
        <v>0</v>
      </c>
      <c r="DA48" s="143">
        <f t="shared" si="305"/>
        <v>1.25</v>
      </c>
      <c r="DB48" s="143">
        <f t="shared" si="305"/>
        <v>12.5</v>
      </c>
      <c r="DC48" s="143">
        <f t="shared" si="305"/>
        <v>0</v>
      </c>
      <c r="DD48" s="143">
        <f t="shared" si="305"/>
        <v>0</v>
      </c>
      <c r="DE48" s="143">
        <f t="shared" si="305"/>
        <v>0</v>
      </c>
      <c r="DF48" s="143">
        <f t="shared" si="305"/>
        <v>0</v>
      </c>
      <c r="DG48" s="143">
        <f t="shared" si="305"/>
        <v>0</v>
      </c>
      <c r="DH48" s="143">
        <f t="shared" si="305"/>
        <v>0</v>
      </c>
      <c r="DI48" s="143">
        <f t="shared" si="305"/>
        <v>0</v>
      </c>
      <c r="DJ48" s="143">
        <f t="shared" si="305"/>
        <v>0</v>
      </c>
      <c r="DK48" s="143">
        <f t="shared" si="37"/>
        <v>0</v>
      </c>
      <c r="DL48" s="143">
        <f t="shared" si="38"/>
        <v>0</v>
      </c>
      <c r="DM48" s="143">
        <f t="shared" ref="DM48:DN48" si="306">AD48*BW$2/($H48/50)^2</f>
        <v>0</v>
      </c>
      <c r="DN48" s="143">
        <f t="shared" si="306"/>
        <v>0</v>
      </c>
      <c r="DO48" s="143">
        <f t="shared" si="40"/>
        <v>0</v>
      </c>
      <c r="DP48" s="143">
        <f t="shared" si="41"/>
        <v>0</v>
      </c>
      <c r="DQ48" s="143">
        <f t="shared" si="42"/>
        <v>0</v>
      </c>
      <c r="DR48" s="143">
        <f t="shared" si="43"/>
        <v>0</v>
      </c>
      <c r="DS48" s="143">
        <f t="shared" si="44"/>
        <v>0</v>
      </c>
      <c r="DT48" s="143">
        <f t="shared" si="45"/>
        <v>0</v>
      </c>
      <c r="DU48" s="143">
        <f t="shared" si="46"/>
        <v>0</v>
      </c>
      <c r="DV48" s="143">
        <f t="shared" si="47"/>
        <v>0</v>
      </c>
      <c r="DW48" s="143">
        <f t="shared" si="48"/>
        <v>0</v>
      </c>
      <c r="DX48" s="143">
        <f t="shared" si="49"/>
        <v>0</v>
      </c>
      <c r="DY48" s="143">
        <f t="shared" si="50"/>
        <v>0</v>
      </c>
      <c r="DZ48" s="143">
        <f t="shared" si="51"/>
        <v>0</v>
      </c>
      <c r="EA48" s="143">
        <f t="shared" ref="EA48:EL48" si="307">AR48*CK$2/($H48/50)^2</f>
        <v>0</v>
      </c>
      <c r="EB48" s="143">
        <f t="shared" si="307"/>
        <v>0</v>
      </c>
      <c r="EC48" s="143">
        <f t="shared" si="307"/>
        <v>0</v>
      </c>
      <c r="ED48" s="143">
        <f t="shared" si="307"/>
        <v>0</v>
      </c>
      <c r="EE48" s="143">
        <f t="shared" si="307"/>
        <v>0</v>
      </c>
      <c r="EF48" s="143">
        <f t="shared" si="307"/>
        <v>0</v>
      </c>
      <c r="EG48" s="143">
        <f t="shared" si="307"/>
        <v>0</v>
      </c>
      <c r="EH48" s="143">
        <f t="shared" si="307"/>
        <v>0</v>
      </c>
      <c r="EI48" s="143">
        <f t="shared" si="307"/>
        <v>0</v>
      </c>
      <c r="EJ48" s="143">
        <f t="shared" si="307"/>
        <v>0</v>
      </c>
      <c r="EK48" s="143">
        <f t="shared" si="307"/>
        <v>0</v>
      </c>
      <c r="EL48" s="143">
        <f t="shared" si="307"/>
        <v>0</v>
      </c>
    </row>
    <row r="49">
      <c r="A49" s="151" t="s">
        <v>105</v>
      </c>
      <c r="B49" s="132">
        <f t="shared" si="10"/>
        <v>0</v>
      </c>
      <c r="C49" s="144"/>
      <c r="D49" s="134">
        <f t="shared" si="11"/>
        <v>0</v>
      </c>
      <c r="E49" s="135">
        <f t="shared" si="12"/>
        <v>0</v>
      </c>
      <c r="F49" s="132">
        <f t="shared" si="13"/>
        <v>0</v>
      </c>
      <c r="G49" s="136">
        <f t="shared" si="14"/>
        <v>0</v>
      </c>
      <c r="H49" s="137">
        <v>100.0</v>
      </c>
      <c r="I49" s="138" t="str">
        <f t="shared" si="259"/>
        <v>Paste Base</v>
      </c>
      <c r="J49" s="139">
        <f t="shared" si="15"/>
        <v>0</v>
      </c>
      <c r="K49" s="140">
        <f t="shared" si="16"/>
        <v>182</v>
      </c>
      <c r="L49" s="139">
        <v>300.0</v>
      </c>
      <c r="M49" s="139">
        <v>1800.0</v>
      </c>
      <c r="N49" s="139">
        <v>4.0</v>
      </c>
      <c r="O49" s="141"/>
      <c r="P49" s="141"/>
      <c r="Q49" s="141"/>
      <c r="R49" s="139">
        <v>2.0</v>
      </c>
      <c r="S49" s="141"/>
      <c r="T49" s="139">
        <v>1.0</v>
      </c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2"/>
      <c r="BE49" s="143">
        <f t="shared" si="17"/>
        <v>0</v>
      </c>
      <c r="BF49" s="143">
        <f t="shared" si="18"/>
        <v>0</v>
      </c>
      <c r="BG49" s="143">
        <f t="shared" ref="BG49:BT49" si="308">$G49*N49*IF($H49&gt;50,18,36)+$F49*N49*IF($H49&gt;50,4,8)+$E49*N49</f>
        <v>0</v>
      </c>
      <c r="BH49" s="143">
        <f t="shared" si="308"/>
        <v>0</v>
      </c>
      <c r="BI49" s="143">
        <f t="shared" si="308"/>
        <v>0</v>
      </c>
      <c r="BJ49" s="143">
        <f t="shared" si="308"/>
        <v>0</v>
      </c>
      <c r="BK49" s="143">
        <f t="shared" si="308"/>
        <v>0</v>
      </c>
      <c r="BL49" s="143">
        <f t="shared" si="308"/>
        <v>0</v>
      </c>
      <c r="BM49" s="143">
        <f t="shared" si="308"/>
        <v>0</v>
      </c>
      <c r="BN49" s="143">
        <f t="shared" si="308"/>
        <v>0</v>
      </c>
      <c r="BO49" s="143">
        <f t="shared" si="308"/>
        <v>0</v>
      </c>
      <c r="BP49" s="143">
        <f t="shared" si="308"/>
        <v>0</v>
      </c>
      <c r="BQ49" s="143">
        <f t="shared" si="308"/>
        <v>0</v>
      </c>
      <c r="BR49" s="143">
        <f t="shared" si="308"/>
        <v>0</v>
      </c>
      <c r="BS49" s="143">
        <f t="shared" si="308"/>
        <v>0</v>
      </c>
      <c r="BT49" s="143">
        <f t="shared" si="308"/>
        <v>0</v>
      </c>
      <c r="BU49" s="143">
        <f t="shared" si="20"/>
        <v>0</v>
      </c>
      <c r="BV49" s="143">
        <f t="shared" si="21"/>
        <v>0</v>
      </c>
      <c r="BW49" s="143">
        <f t="shared" ref="BW49:BX49" si="309">$G49*AD49*IF($H49&gt;50,18,36)+$F49*AD49*IF($H49&gt;50,4,8)+$E49*AD49</f>
        <v>0</v>
      </c>
      <c r="BX49" s="143">
        <f t="shared" si="309"/>
        <v>0</v>
      </c>
      <c r="BY49" s="143">
        <f t="shared" si="23"/>
        <v>0</v>
      </c>
      <c r="BZ49" s="143">
        <f t="shared" si="24"/>
        <v>0</v>
      </c>
      <c r="CA49" s="143">
        <f t="shared" si="25"/>
        <v>0</v>
      </c>
      <c r="CB49" s="143">
        <f t="shared" si="26"/>
        <v>0</v>
      </c>
      <c r="CC49" s="143">
        <f t="shared" si="27"/>
        <v>0</v>
      </c>
      <c r="CD49" s="143">
        <f t="shared" si="28"/>
        <v>0</v>
      </c>
      <c r="CE49" s="143">
        <f t="shared" si="29"/>
        <v>0</v>
      </c>
      <c r="CF49" s="143">
        <f t="shared" si="30"/>
        <v>0</v>
      </c>
      <c r="CG49" s="143">
        <f t="shared" si="31"/>
        <v>0</v>
      </c>
      <c r="CH49" s="143">
        <f t="shared" si="32"/>
        <v>0</v>
      </c>
      <c r="CI49" s="143">
        <f t="shared" si="33"/>
        <v>0</v>
      </c>
      <c r="CJ49" s="143">
        <f t="shared" si="34"/>
        <v>0</v>
      </c>
      <c r="CK49" s="143">
        <f t="shared" ref="CK49:CV49" si="310">$G49*AR49*IF($H49&gt;50,18,36)+$F49*AR49*IF($H49&gt;50,4,8)+$E49*AR49</f>
        <v>0</v>
      </c>
      <c r="CL49" s="143">
        <f t="shared" si="310"/>
        <v>0</v>
      </c>
      <c r="CM49" s="143">
        <f t="shared" si="310"/>
        <v>0</v>
      </c>
      <c r="CN49" s="143">
        <f t="shared" si="310"/>
        <v>0</v>
      </c>
      <c r="CO49" s="143">
        <f t="shared" si="310"/>
        <v>0</v>
      </c>
      <c r="CP49" s="143">
        <f t="shared" si="310"/>
        <v>0</v>
      </c>
      <c r="CQ49" s="143">
        <f t="shared" si="310"/>
        <v>0</v>
      </c>
      <c r="CR49" s="143">
        <f t="shared" si="310"/>
        <v>0</v>
      </c>
      <c r="CS49" s="143">
        <f t="shared" si="310"/>
        <v>0</v>
      </c>
      <c r="CT49" s="143">
        <f t="shared" si="310"/>
        <v>0</v>
      </c>
      <c r="CU49" s="143">
        <f t="shared" si="310"/>
        <v>0</v>
      </c>
      <c r="CV49" s="143">
        <f t="shared" si="310"/>
        <v>0</v>
      </c>
      <c r="CW49" s="143"/>
      <c r="CX49" s="143">
        <f t="shared" ref="CX49:DJ49" si="311">O49*BH$2/($H49/50)^2</f>
        <v>0</v>
      </c>
      <c r="CY49" s="143">
        <f t="shared" si="311"/>
        <v>0</v>
      </c>
      <c r="CZ49" s="143">
        <f t="shared" si="311"/>
        <v>0</v>
      </c>
      <c r="DA49" s="143">
        <f t="shared" si="311"/>
        <v>2.5</v>
      </c>
      <c r="DB49" s="143">
        <f t="shared" si="311"/>
        <v>0</v>
      </c>
      <c r="DC49" s="143">
        <f t="shared" si="311"/>
        <v>15</v>
      </c>
      <c r="DD49" s="143">
        <f t="shared" si="311"/>
        <v>0</v>
      </c>
      <c r="DE49" s="143">
        <f t="shared" si="311"/>
        <v>0</v>
      </c>
      <c r="DF49" s="143">
        <f t="shared" si="311"/>
        <v>0</v>
      </c>
      <c r="DG49" s="143">
        <f t="shared" si="311"/>
        <v>0</v>
      </c>
      <c r="DH49" s="143">
        <f t="shared" si="311"/>
        <v>0</v>
      </c>
      <c r="DI49" s="143">
        <f t="shared" si="311"/>
        <v>0</v>
      </c>
      <c r="DJ49" s="143">
        <f t="shared" si="311"/>
        <v>0</v>
      </c>
      <c r="DK49" s="143">
        <f t="shared" si="37"/>
        <v>0</v>
      </c>
      <c r="DL49" s="143">
        <f t="shared" si="38"/>
        <v>0</v>
      </c>
      <c r="DM49" s="143">
        <f t="shared" ref="DM49:DN49" si="312">AD49*BW$2/($H49/50)^2</f>
        <v>0</v>
      </c>
      <c r="DN49" s="143">
        <f t="shared" si="312"/>
        <v>0</v>
      </c>
      <c r="DO49" s="143">
        <f t="shared" si="40"/>
        <v>0</v>
      </c>
      <c r="DP49" s="143">
        <f t="shared" si="41"/>
        <v>0</v>
      </c>
      <c r="DQ49" s="143">
        <f t="shared" si="42"/>
        <v>0</v>
      </c>
      <c r="DR49" s="143">
        <f t="shared" si="43"/>
        <v>0</v>
      </c>
      <c r="DS49" s="143">
        <f t="shared" si="44"/>
        <v>0</v>
      </c>
      <c r="DT49" s="143">
        <f t="shared" si="45"/>
        <v>0</v>
      </c>
      <c r="DU49" s="143">
        <f t="shared" si="46"/>
        <v>0</v>
      </c>
      <c r="DV49" s="143">
        <f t="shared" si="47"/>
        <v>0</v>
      </c>
      <c r="DW49" s="143">
        <f t="shared" si="48"/>
        <v>0</v>
      </c>
      <c r="DX49" s="143">
        <f t="shared" si="49"/>
        <v>0</v>
      </c>
      <c r="DY49" s="143">
        <f t="shared" si="50"/>
        <v>0</v>
      </c>
      <c r="DZ49" s="143">
        <f t="shared" si="51"/>
        <v>0</v>
      </c>
      <c r="EA49" s="143">
        <f t="shared" ref="EA49:EL49" si="313">AR49*CK$2/($H49/50)^2</f>
        <v>0</v>
      </c>
      <c r="EB49" s="143">
        <f t="shared" si="313"/>
        <v>0</v>
      </c>
      <c r="EC49" s="143">
        <f t="shared" si="313"/>
        <v>0</v>
      </c>
      <c r="ED49" s="143">
        <f t="shared" si="313"/>
        <v>0</v>
      </c>
      <c r="EE49" s="143">
        <f t="shared" si="313"/>
        <v>0</v>
      </c>
      <c r="EF49" s="143">
        <f t="shared" si="313"/>
        <v>0</v>
      </c>
      <c r="EG49" s="143">
        <f t="shared" si="313"/>
        <v>0</v>
      </c>
      <c r="EH49" s="143">
        <f t="shared" si="313"/>
        <v>0</v>
      </c>
      <c r="EI49" s="143">
        <f t="shared" si="313"/>
        <v>0</v>
      </c>
      <c r="EJ49" s="143">
        <f t="shared" si="313"/>
        <v>0</v>
      </c>
      <c r="EK49" s="143">
        <f t="shared" si="313"/>
        <v>0</v>
      </c>
      <c r="EL49" s="143">
        <f t="shared" si="313"/>
        <v>0</v>
      </c>
    </row>
    <row r="50">
      <c r="A50" s="151" t="s">
        <v>106</v>
      </c>
      <c r="B50" s="132">
        <f t="shared" si="10"/>
        <v>0</v>
      </c>
      <c r="C50" s="148"/>
      <c r="D50" s="134">
        <f t="shared" si="11"/>
        <v>0</v>
      </c>
      <c r="E50" s="135">
        <f t="shared" si="12"/>
        <v>0</v>
      </c>
      <c r="F50" s="132">
        <f t="shared" si="13"/>
        <v>0</v>
      </c>
      <c r="G50" s="136">
        <f t="shared" si="14"/>
        <v>0</v>
      </c>
      <c r="H50" s="137">
        <v>100.0</v>
      </c>
      <c r="I50" s="138" t="str">
        <f t="shared" si="259"/>
        <v>Paste Base</v>
      </c>
      <c r="J50" s="139">
        <f t="shared" si="15"/>
        <v>0</v>
      </c>
      <c r="K50" s="140">
        <f t="shared" si="16"/>
        <v>182</v>
      </c>
      <c r="L50" s="139">
        <v>200.0</v>
      </c>
      <c r="M50" s="139">
        <v>600.0</v>
      </c>
      <c r="N50" s="139">
        <v>2.0</v>
      </c>
      <c r="O50" s="141"/>
      <c r="P50" s="141"/>
      <c r="Q50" s="141"/>
      <c r="R50" s="141"/>
      <c r="S50" s="139">
        <v>1.0</v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39">
        <v>2.0</v>
      </c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2"/>
      <c r="BE50" s="143">
        <f t="shared" si="17"/>
        <v>0</v>
      </c>
      <c r="BF50" s="143">
        <f t="shared" si="18"/>
        <v>0</v>
      </c>
      <c r="BG50" s="143">
        <f t="shared" ref="BG50:BT50" si="314">$G50*N50*IF($H50&gt;50,18,36)+$F50*N50*IF($H50&gt;50,4,8)+$E50*N50</f>
        <v>0</v>
      </c>
      <c r="BH50" s="143">
        <f t="shared" si="314"/>
        <v>0</v>
      </c>
      <c r="BI50" s="143">
        <f t="shared" si="314"/>
        <v>0</v>
      </c>
      <c r="BJ50" s="143">
        <f t="shared" si="314"/>
        <v>0</v>
      </c>
      <c r="BK50" s="143">
        <f t="shared" si="314"/>
        <v>0</v>
      </c>
      <c r="BL50" s="143">
        <f t="shared" si="314"/>
        <v>0</v>
      </c>
      <c r="BM50" s="143">
        <f t="shared" si="314"/>
        <v>0</v>
      </c>
      <c r="BN50" s="143">
        <f t="shared" si="314"/>
        <v>0</v>
      </c>
      <c r="BO50" s="143">
        <f t="shared" si="314"/>
        <v>0</v>
      </c>
      <c r="BP50" s="143">
        <f t="shared" si="314"/>
        <v>0</v>
      </c>
      <c r="BQ50" s="143">
        <f t="shared" si="314"/>
        <v>0</v>
      </c>
      <c r="BR50" s="143">
        <f t="shared" si="314"/>
        <v>0</v>
      </c>
      <c r="BS50" s="143">
        <f t="shared" si="314"/>
        <v>0</v>
      </c>
      <c r="BT50" s="143">
        <f t="shared" si="314"/>
        <v>0</v>
      </c>
      <c r="BU50" s="143">
        <f t="shared" si="20"/>
        <v>0</v>
      </c>
      <c r="BV50" s="143">
        <f t="shared" si="21"/>
        <v>0</v>
      </c>
      <c r="BW50" s="143">
        <f t="shared" ref="BW50:BX50" si="315">$G50*AD50*IF($H50&gt;50,18,36)+$F50*AD50*IF($H50&gt;50,4,8)+$E50*AD50</f>
        <v>0</v>
      </c>
      <c r="BX50" s="143">
        <f t="shared" si="315"/>
        <v>0</v>
      </c>
      <c r="BY50" s="143">
        <f t="shared" si="23"/>
        <v>0</v>
      </c>
      <c r="BZ50" s="143">
        <f t="shared" si="24"/>
        <v>0</v>
      </c>
      <c r="CA50" s="143">
        <f t="shared" si="25"/>
        <v>0</v>
      </c>
      <c r="CB50" s="143">
        <f t="shared" si="26"/>
        <v>0</v>
      </c>
      <c r="CC50" s="143">
        <f t="shared" si="27"/>
        <v>0</v>
      </c>
      <c r="CD50" s="143">
        <f t="shared" si="28"/>
        <v>0</v>
      </c>
      <c r="CE50" s="143">
        <f t="shared" si="29"/>
        <v>0</v>
      </c>
      <c r="CF50" s="143">
        <f t="shared" si="30"/>
        <v>0</v>
      </c>
      <c r="CG50" s="143">
        <f t="shared" si="31"/>
        <v>0</v>
      </c>
      <c r="CH50" s="143">
        <f t="shared" si="32"/>
        <v>0</v>
      </c>
      <c r="CI50" s="143">
        <f t="shared" si="33"/>
        <v>0</v>
      </c>
      <c r="CJ50" s="143">
        <f t="shared" si="34"/>
        <v>0</v>
      </c>
      <c r="CK50" s="143">
        <f t="shared" ref="CK50:CV50" si="316">$G50*AR50*IF($H50&gt;50,18,36)+$F50*AR50*IF($H50&gt;50,4,8)+$E50*AR50</f>
        <v>0</v>
      </c>
      <c r="CL50" s="143">
        <f t="shared" si="316"/>
        <v>0</v>
      </c>
      <c r="CM50" s="143">
        <f t="shared" si="316"/>
        <v>0</v>
      </c>
      <c r="CN50" s="143">
        <f t="shared" si="316"/>
        <v>0</v>
      </c>
      <c r="CO50" s="143">
        <f t="shared" si="316"/>
        <v>0</v>
      </c>
      <c r="CP50" s="143">
        <f t="shared" si="316"/>
        <v>0</v>
      </c>
      <c r="CQ50" s="143">
        <f t="shared" si="316"/>
        <v>0</v>
      </c>
      <c r="CR50" s="143">
        <f t="shared" si="316"/>
        <v>0</v>
      </c>
      <c r="CS50" s="143">
        <f t="shared" si="316"/>
        <v>0</v>
      </c>
      <c r="CT50" s="143">
        <f t="shared" si="316"/>
        <v>0</v>
      </c>
      <c r="CU50" s="143">
        <f t="shared" si="316"/>
        <v>0</v>
      </c>
      <c r="CV50" s="143">
        <f t="shared" si="316"/>
        <v>0</v>
      </c>
      <c r="CW50" s="143"/>
      <c r="CX50" s="143">
        <f t="shared" ref="CX50:DJ50" si="317">O50*BH$2/($H50/50)^2</f>
        <v>0</v>
      </c>
      <c r="CY50" s="143">
        <f t="shared" si="317"/>
        <v>0</v>
      </c>
      <c r="CZ50" s="143">
        <f t="shared" si="317"/>
        <v>0</v>
      </c>
      <c r="DA50" s="143">
        <f t="shared" si="317"/>
        <v>0</v>
      </c>
      <c r="DB50" s="143">
        <f t="shared" si="317"/>
        <v>12.5</v>
      </c>
      <c r="DC50" s="143">
        <f t="shared" si="317"/>
        <v>0</v>
      </c>
      <c r="DD50" s="143">
        <f t="shared" si="317"/>
        <v>0</v>
      </c>
      <c r="DE50" s="143">
        <f t="shared" si="317"/>
        <v>0</v>
      </c>
      <c r="DF50" s="143">
        <f t="shared" si="317"/>
        <v>0</v>
      </c>
      <c r="DG50" s="143">
        <f t="shared" si="317"/>
        <v>0</v>
      </c>
      <c r="DH50" s="143">
        <f t="shared" si="317"/>
        <v>0</v>
      </c>
      <c r="DI50" s="143">
        <f t="shared" si="317"/>
        <v>0</v>
      </c>
      <c r="DJ50" s="143">
        <f t="shared" si="317"/>
        <v>0</v>
      </c>
      <c r="DK50" s="143">
        <f t="shared" si="37"/>
        <v>0</v>
      </c>
      <c r="DL50" s="143">
        <f t="shared" si="38"/>
        <v>0</v>
      </c>
      <c r="DM50" s="143">
        <f t="shared" ref="DM50:DN50" si="318">AD50*BW$2/($H50/50)^2</f>
        <v>0</v>
      </c>
      <c r="DN50" s="143">
        <f t="shared" si="318"/>
        <v>0</v>
      </c>
      <c r="DO50" s="143">
        <f t="shared" si="40"/>
        <v>0</v>
      </c>
      <c r="DP50" s="143">
        <f t="shared" si="41"/>
        <v>0</v>
      </c>
      <c r="DQ50" s="143">
        <f t="shared" si="42"/>
        <v>0</v>
      </c>
      <c r="DR50" s="143">
        <f t="shared" si="43"/>
        <v>0</v>
      </c>
      <c r="DS50" s="143">
        <f t="shared" si="44"/>
        <v>0</v>
      </c>
      <c r="DT50" s="143">
        <f t="shared" si="45"/>
        <v>0</v>
      </c>
      <c r="DU50" s="143">
        <f t="shared" si="46"/>
        <v>0</v>
      </c>
      <c r="DV50" s="143">
        <f t="shared" si="47"/>
        <v>0</v>
      </c>
      <c r="DW50" s="143">
        <f t="shared" si="48"/>
        <v>0</v>
      </c>
      <c r="DX50" s="143">
        <f t="shared" si="49"/>
        <v>0</v>
      </c>
      <c r="DY50" s="143">
        <f t="shared" si="50"/>
        <v>0</v>
      </c>
      <c r="DZ50" s="143">
        <f t="shared" si="51"/>
        <v>5</v>
      </c>
      <c r="EA50" s="143">
        <f t="shared" ref="EA50:EL50" si="319">AR50*CK$2/($H50/50)^2</f>
        <v>0</v>
      </c>
      <c r="EB50" s="143">
        <f t="shared" si="319"/>
        <v>0</v>
      </c>
      <c r="EC50" s="143">
        <f t="shared" si="319"/>
        <v>0</v>
      </c>
      <c r="ED50" s="143">
        <f t="shared" si="319"/>
        <v>0</v>
      </c>
      <c r="EE50" s="143">
        <f t="shared" si="319"/>
        <v>0</v>
      </c>
      <c r="EF50" s="143">
        <f t="shared" si="319"/>
        <v>0</v>
      </c>
      <c r="EG50" s="143">
        <f t="shared" si="319"/>
        <v>0</v>
      </c>
      <c r="EH50" s="143">
        <f t="shared" si="319"/>
        <v>0</v>
      </c>
      <c r="EI50" s="143">
        <f t="shared" si="319"/>
        <v>0</v>
      </c>
      <c r="EJ50" s="143">
        <f t="shared" si="319"/>
        <v>0</v>
      </c>
      <c r="EK50" s="143">
        <f t="shared" si="319"/>
        <v>0</v>
      </c>
      <c r="EL50" s="143">
        <f t="shared" si="319"/>
        <v>0</v>
      </c>
    </row>
    <row r="51">
      <c r="A51" s="151" t="s">
        <v>107</v>
      </c>
      <c r="B51" s="132">
        <f t="shared" si="10"/>
        <v>0</v>
      </c>
      <c r="C51" s="144"/>
      <c r="D51" s="134">
        <f t="shared" si="11"/>
        <v>0</v>
      </c>
      <c r="E51" s="135">
        <f t="shared" si="12"/>
        <v>0</v>
      </c>
      <c r="F51" s="132">
        <f t="shared" si="13"/>
        <v>0</v>
      </c>
      <c r="G51" s="136">
        <f t="shared" si="14"/>
        <v>0</v>
      </c>
      <c r="H51" s="137">
        <v>100.0</v>
      </c>
      <c r="I51" s="138" t="str">
        <f t="shared" si="259"/>
        <v>Paste Base</v>
      </c>
      <c r="J51" s="139">
        <f t="shared" si="15"/>
        <v>0</v>
      </c>
      <c r="K51" s="140">
        <f t="shared" si="16"/>
        <v>189</v>
      </c>
      <c r="L51" s="139">
        <v>300.0</v>
      </c>
      <c r="M51" s="139">
        <v>1800.0</v>
      </c>
      <c r="N51" s="139">
        <v>4.0</v>
      </c>
      <c r="O51" s="141"/>
      <c r="P51" s="141"/>
      <c r="Q51" s="141"/>
      <c r="R51" s="141"/>
      <c r="S51" s="139"/>
      <c r="T51" s="139">
        <v>1.0</v>
      </c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39">
        <v>4.0</v>
      </c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2"/>
      <c r="BE51" s="143">
        <f t="shared" si="17"/>
        <v>0</v>
      </c>
      <c r="BF51" s="143">
        <f t="shared" si="18"/>
        <v>0</v>
      </c>
      <c r="BG51" s="143">
        <f t="shared" ref="BG51:BT51" si="320">$G51*N51*IF($H51&gt;50,18,36)+$F51*N51*IF($H51&gt;50,4,8)+$E51*N51</f>
        <v>0</v>
      </c>
      <c r="BH51" s="143">
        <f t="shared" si="320"/>
        <v>0</v>
      </c>
      <c r="BI51" s="143">
        <f t="shared" si="320"/>
        <v>0</v>
      </c>
      <c r="BJ51" s="143">
        <f t="shared" si="320"/>
        <v>0</v>
      </c>
      <c r="BK51" s="143">
        <f t="shared" si="320"/>
        <v>0</v>
      </c>
      <c r="BL51" s="143">
        <f t="shared" si="320"/>
        <v>0</v>
      </c>
      <c r="BM51" s="143">
        <f t="shared" si="320"/>
        <v>0</v>
      </c>
      <c r="BN51" s="143">
        <f t="shared" si="320"/>
        <v>0</v>
      </c>
      <c r="BO51" s="143">
        <f t="shared" si="320"/>
        <v>0</v>
      </c>
      <c r="BP51" s="143">
        <f t="shared" si="320"/>
        <v>0</v>
      </c>
      <c r="BQ51" s="143">
        <f t="shared" si="320"/>
        <v>0</v>
      </c>
      <c r="BR51" s="143">
        <f t="shared" si="320"/>
        <v>0</v>
      </c>
      <c r="BS51" s="143">
        <f t="shared" si="320"/>
        <v>0</v>
      </c>
      <c r="BT51" s="143">
        <f t="shared" si="320"/>
        <v>0</v>
      </c>
      <c r="BU51" s="143">
        <f t="shared" si="20"/>
        <v>0</v>
      </c>
      <c r="BV51" s="143">
        <f t="shared" si="21"/>
        <v>0</v>
      </c>
      <c r="BW51" s="143">
        <f t="shared" ref="BW51:BX51" si="321">$G51*AD51*IF($H51&gt;50,18,36)+$F51*AD51*IF($H51&gt;50,4,8)+$E51*AD51</f>
        <v>0</v>
      </c>
      <c r="BX51" s="143">
        <f t="shared" si="321"/>
        <v>0</v>
      </c>
      <c r="BY51" s="143">
        <f t="shared" si="23"/>
        <v>0</v>
      </c>
      <c r="BZ51" s="143">
        <f t="shared" si="24"/>
        <v>0</v>
      </c>
      <c r="CA51" s="143">
        <f t="shared" si="25"/>
        <v>0</v>
      </c>
      <c r="CB51" s="143">
        <f t="shared" si="26"/>
        <v>0</v>
      </c>
      <c r="CC51" s="143">
        <f t="shared" si="27"/>
        <v>0</v>
      </c>
      <c r="CD51" s="143">
        <f t="shared" si="28"/>
        <v>0</v>
      </c>
      <c r="CE51" s="143">
        <f t="shared" si="29"/>
        <v>0</v>
      </c>
      <c r="CF51" s="143">
        <f t="shared" si="30"/>
        <v>0</v>
      </c>
      <c r="CG51" s="143">
        <f t="shared" si="31"/>
        <v>0</v>
      </c>
      <c r="CH51" s="143">
        <f t="shared" si="32"/>
        <v>0</v>
      </c>
      <c r="CI51" s="143">
        <f t="shared" si="33"/>
        <v>0</v>
      </c>
      <c r="CJ51" s="143">
        <f t="shared" si="34"/>
        <v>0</v>
      </c>
      <c r="CK51" s="143">
        <f t="shared" ref="CK51:CV51" si="322">$G51*AR51*IF($H51&gt;50,18,36)+$F51*AR51*IF($H51&gt;50,4,8)+$E51*AR51</f>
        <v>0</v>
      </c>
      <c r="CL51" s="143">
        <f t="shared" si="322"/>
        <v>0</v>
      </c>
      <c r="CM51" s="143">
        <f t="shared" si="322"/>
        <v>0</v>
      </c>
      <c r="CN51" s="143">
        <f t="shared" si="322"/>
        <v>0</v>
      </c>
      <c r="CO51" s="143">
        <f t="shared" si="322"/>
        <v>0</v>
      </c>
      <c r="CP51" s="143">
        <f t="shared" si="322"/>
        <v>0</v>
      </c>
      <c r="CQ51" s="143">
        <f t="shared" si="322"/>
        <v>0</v>
      </c>
      <c r="CR51" s="143">
        <f t="shared" si="322"/>
        <v>0</v>
      </c>
      <c r="CS51" s="143">
        <f t="shared" si="322"/>
        <v>0</v>
      </c>
      <c r="CT51" s="143">
        <f t="shared" si="322"/>
        <v>0</v>
      </c>
      <c r="CU51" s="143">
        <f t="shared" si="322"/>
        <v>0</v>
      </c>
      <c r="CV51" s="143">
        <f t="shared" si="322"/>
        <v>0</v>
      </c>
      <c r="CW51" s="143"/>
      <c r="CX51" s="143">
        <f t="shared" ref="CX51:DJ51" si="323">O51*BH$2/($H51/50)^2</f>
        <v>0</v>
      </c>
      <c r="CY51" s="143">
        <f t="shared" si="323"/>
        <v>0</v>
      </c>
      <c r="CZ51" s="143">
        <f t="shared" si="323"/>
        <v>0</v>
      </c>
      <c r="DA51" s="143">
        <f t="shared" si="323"/>
        <v>0</v>
      </c>
      <c r="DB51" s="143">
        <f t="shared" si="323"/>
        <v>0</v>
      </c>
      <c r="DC51" s="143">
        <f t="shared" si="323"/>
        <v>15</v>
      </c>
      <c r="DD51" s="143">
        <f t="shared" si="323"/>
        <v>0</v>
      </c>
      <c r="DE51" s="143">
        <f t="shared" si="323"/>
        <v>0</v>
      </c>
      <c r="DF51" s="143">
        <f t="shared" si="323"/>
        <v>0</v>
      </c>
      <c r="DG51" s="143">
        <f t="shared" si="323"/>
        <v>0</v>
      </c>
      <c r="DH51" s="143">
        <f t="shared" si="323"/>
        <v>0</v>
      </c>
      <c r="DI51" s="143">
        <f t="shared" si="323"/>
        <v>0</v>
      </c>
      <c r="DJ51" s="143">
        <f t="shared" si="323"/>
        <v>0</v>
      </c>
      <c r="DK51" s="143">
        <f t="shared" si="37"/>
        <v>0</v>
      </c>
      <c r="DL51" s="143">
        <f t="shared" si="38"/>
        <v>0</v>
      </c>
      <c r="DM51" s="143">
        <f t="shared" ref="DM51:DN51" si="324">AD51*BW$2/($H51/50)^2</f>
        <v>0</v>
      </c>
      <c r="DN51" s="143">
        <f t="shared" si="324"/>
        <v>0</v>
      </c>
      <c r="DO51" s="143">
        <f t="shared" si="40"/>
        <v>0</v>
      </c>
      <c r="DP51" s="143">
        <f t="shared" si="41"/>
        <v>0</v>
      </c>
      <c r="DQ51" s="143">
        <f t="shared" si="42"/>
        <v>0</v>
      </c>
      <c r="DR51" s="143">
        <f t="shared" si="43"/>
        <v>0</v>
      </c>
      <c r="DS51" s="143">
        <f t="shared" si="44"/>
        <v>0</v>
      </c>
      <c r="DT51" s="143">
        <f t="shared" si="45"/>
        <v>0</v>
      </c>
      <c r="DU51" s="143">
        <f t="shared" si="46"/>
        <v>0</v>
      </c>
      <c r="DV51" s="143">
        <f t="shared" si="47"/>
        <v>0</v>
      </c>
      <c r="DW51" s="143">
        <f t="shared" si="48"/>
        <v>0</v>
      </c>
      <c r="DX51" s="143">
        <f t="shared" si="49"/>
        <v>0</v>
      </c>
      <c r="DY51" s="143">
        <f t="shared" si="50"/>
        <v>0</v>
      </c>
      <c r="DZ51" s="143">
        <f t="shared" si="51"/>
        <v>10</v>
      </c>
      <c r="EA51" s="143">
        <f t="shared" ref="EA51:EL51" si="325">AR51*CK$2/($H51/50)^2</f>
        <v>0</v>
      </c>
      <c r="EB51" s="143">
        <f t="shared" si="325"/>
        <v>0</v>
      </c>
      <c r="EC51" s="143">
        <f t="shared" si="325"/>
        <v>0</v>
      </c>
      <c r="ED51" s="143">
        <f t="shared" si="325"/>
        <v>0</v>
      </c>
      <c r="EE51" s="143">
        <f t="shared" si="325"/>
        <v>0</v>
      </c>
      <c r="EF51" s="143">
        <f t="shared" si="325"/>
        <v>0</v>
      </c>
      <c r="EG51" s="143">
        <f t="shared" si="325"/>
        <v>0</v>
      </c>
      <c r="EH51" s="143">
        <f t="shared" si="325"/>
        <v>0</v>
      </c>
      <c r="EI51" s="143">
        <f t="shared" si="325"/>
        <v>0</v>
      </c>
      <c r="EJ51" s="143">
        <f t="shared" si="325"/>
        <v>0</v>
      </c>
      <c r="EK51" s="143">
        <f t="shared" si="325"/>
        <v>0</v>
      </c>
      <c r="EL51" s="143">
        <f t="shared" si="325"/>
        <v>0</v>
      </c>
    </row>
    <row r="52">
      <c r="A52" s="151" t="s">
        <v>108</v>
      </c>
      <c r="B52" s="132">
        <f t="shared" si="10"/>
        <v>0</v>
      </c>
      <c r="C52" s="144"/>
      <c r="D52" s="134">
        <f t="shared" si="11"/>
        <v>0</v>
      </c>
      <c r="E52" s="135">
        <f t="shared" si="12"/>
        <v>0</v>
      </c>
      <c r="F52" s="132">
        <f t="shared" si="13"/>
        <v>0</v>
      </c>
      <c r="G52" s="136">
        <f t="shared" si="14"/>
        <v>0</v>
      </c>
      <c r="H52" s="137">
        <v>100.0</v>
      </c>
      <c r="I52" s="138" t="str">
        <f t="shared" si="259"/>
        <v>Paste Base</v>
      </c>
      <c r="J52" s="139">
        <f t="shared" si="15"/>
        <v>0</v>
      </c>
      <c r="K52" s="140">
        <f t="shared" si="16"/>
        <v>177</v>
      </c>
      <c r="L52" s="139">
        <v>200.0</v>
      </c>
      <c r="M52" s="139">
        <v>600.0</v>
      </c>
      <c r="N52" s="139">
        <v>1.0</v>
      </c>
      <c r="O52" s="141"/>
      <c r="P52" s="139"/>
      <c r="Q52" s="139">
        <v>1.0</v>
      </c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39"/>
      <c r="AF52" s="139">
        <v>1.0</v>
      </c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2"/>
      <c r="BE52" s="143">
        <f t="shared" si="17"/>
        <v>0</v>
      </c>
      <c r="BF52" s="143">
        <f t="shared" si="18"/>
        <v>0</v>
      </c>
      <c r="BG52" s="143">
        <f t="shared" ref="BG52:BT52" si="326">$G52*N52*IF($H52&gt;50,18,36)+$F52*N52*IF($H52&gt;50,4,8)+$E52*N52</f>
        <v>0</v>
      </c>
      <c r="BH52" s="143">
        <f t="shared" si="326"/>
        <v>0</v>
      </c>
      <c r="BI52" s="143">
        <f t="shared" si="326"/>
        <v>0</v>
      </c>
      <c r="BJ52" s="143">
        <f t="shared" si="326"/>
        <v>0</v>
      </c>
      <c r="BK52" s="143">
        <f t="shared" si="326"/>
        <v>0</v>
      </c>
      <c r="BL52" s="143">
        <f t="shared" si="326"/>
        <v>0</v>
      </c>
      <c r="BM52" s="143">
        <f t="shared" si="326"/>
        <v>0</v>
      </c>
      <c r="BN52" s="143">
        <f t="shared" si="326"/>
        <v>0</v>
      </c>
      <c r="BO52" s="143">
        <f t="shared" si="326"/>
        <v>0</v>
      </c>
      <c r="BP52" s="143">
        <f t="shared" si="326"/>
        <v>0</v>
      </c>
      <c r="BQ52" s="143">
        <f t="shared" si="326"/>
        <v>0</v>
      </c>
      <c r="BR52" s="143">
        <f t="shared" si="326"/>
        <v>0</v>
      </c>
      <c r="BS52" s="143">
        <f t="shared" si="326"/>
        <v>0</v>
      </c>
      <c r="BT52" s="143">
        <f t="shared" si="326"/>
        <v>0</v>
      </c>
      <c r="BU52" s="143">
        <f t="shared" si="20"/>
        <v>0</v>
      </c>
      <c r="BV52" s="143">
        <f t="shared" si="21"/>
        <v>0</v>
      </c>
      <c r="BW52" s="143">
        <f t="shared" ref="BW52:BX52" si="327">$G52*AD52*IF($H52&gt;50,18,36)+$F52*AD52*IF($H52&gt;50,4,8)+$E52*AD52</f>
        <v>0</v>
      </c>
      <c r="BX52" s="143">
        <f t="shared" si="327"/>
        <v>0</v>
      </c>
      <c r="BY52" s="143">
        <f t="shared" si="23"/>
        <v>0</v>
      </c>
      <c r="BZ52" s="143">
        <f t="shared" si="24"/>
        <v>0</v>
      </c>
      <c r="CA52" s="143">
        <f t="shared" si="25"/>
        <v>0</v>
      </c>
      <c r="CB52" s="143">
        <f t="shared" si="26"/>
        <v>0</v>
      </c>
      <c r="CC52" s="143">
        <f t="shared" si="27"/>
        <v>0</v>
      </c>
      <c r="CD52" s="143">
        <f t="shared" si="28"/>
        <v>0</v>
      </c>
      <c r="CE52" s="143">
        <f t="shared" si="29"/>
        <v>0</v>
      </c>
      <c r="CF52" s="143">
        <f t="shared" si="30"/>
        <v>0</v>
      </c>
      <c r="CG52" s="143">
        <f t="shared" si="31"/>
        <v>0</v>
      </c>
      <c r="CH52" s="143">
        <f t="shared" si="32"/>
        <v>0</v>
      </c>
      <c r="CI52" s="143">
        <f t="shared" si="33"/>
        <v>0</v>
      </c>
      <c r="CJ52" s="143">
        <f t="shared" si="34"/>
        <v>0</v>
      </c>
      <c r="CK52" s="143">
        <f t="shared" ref="CK52:CV52" si="328">$G52*AR52*IF($H52&gt;50,18,36)+$F52*AR52*IF($H52&gt;50,4,8)+$E52*AR52</f>
        <v>0</v>
      </c>
      <c r="CL52" s="143">
        <f t="shared" si="328"/>
        <v>0</v>
      </c>
      <c r="CM52" s="143">
        <f t="shared" si="328"/>
        <v>0</v>
      </c>
      <c r="CN52" s="143">
        <f t="shared" si="328"/>
        <v>0</v>
      </c>
      <c r="CO52" s="143">
        <f t="shared" si="328"/>
        <v>0</v>
      </c>
      <c r="CP52" s="143">
        <f t="shared" si="328"/>
        <v>0</v>
      </c>
      <c r="CQ52" s="143">
        <f t="shared" si="328"/>
        <v>0</v>
      </c>
      <c r="CR52" s="143">
        <f t="shared" si="328"/>
        <v>0</v>
      </c>
      <c r="CS52" s="143">
        <f t="shared" si="328"/>
        <v>0</v>
      </c>
      <c r="CT52" s="143">
        <f t="shared" si="328"/>
        <v>0</v>
      </c>
      <c r="CU52" s="143">
        <f t="shared" si="328"/>
        <v>0</v>
      </c>
      <c r="CV52" s="143">
        <f t="shared" si="328"/>
        <v>0</v>
      </c>
      <c r="CW52" s="143"/>
      <c r="CX52" s="143">
        <f t="shared" ref="CX52:DJ52" si="329">O52*BH$2/($H52/50)^2</f>
        <v>0</v>
      </c>
      <c r="CY52" s="143">
        <f t="shared" si="329"/>
        <v>0</v>
      </c>
      <c r="CZ52" s="143">
        <f t="shared" si="329"/>
        <v>2.5</v>
      </c>
      <c r="DA52" s="143">
        <f t="shared" si="329"/>
        <v>0</v>
      </c>
      <c r="DB52" s="143">
        <f t="shared" si="329"/>
        <v>0</v>
      </c>
      <c r="DC52" s="143">
        <f t="shared" si="329"/>
        <v>0</v>
      </c>
      <c r="DD52" s="143">
        <f t="shared" si="329"/>
        <v>0</v>
      </c>
      <c r="DE52" s="143">
        <f t="shared" si="329"/>
        <v>0</v>
      </c>
      <c r="DF52" s="143">
        <f t="shared" si="329"/>
        <v>0</v>
      </c>
      <c r="DG52" s="143">
        <f t="shared" si="329"/>
        <v>0</v>
      </c>
      <c r="DH52" s="143">
        <f t="shared" si="329"/>
        <v>0</v>
      </c>
      <c r="DI52" s="143">
        <f t="shared" si="329"/>
        <v>0</v>
      </c>
      <c r="DJ52" s="143">
        <f t="shared" si="329"/>
        <v>0</v>
      </c>
      <c r="DK52" s="143">
        <f t="shared" si="37"/>
        <v>0</v>
      </c>
      <c r="DL52" s="143">
        <f t="shared" si="38"/>
        <v>0</v>
      </c>
      <c r="DM52" s="143">
        <f t="shared" ref="DM52:DN52" si="330">AD52*BW$2/($H52/50)^2</f>
        <v>0</v>
      </c>
      <c r="DN52" s="143">
        <f t="shared" si="330"/>
        <v>0</v>
      </c>
      <c r="DO52" s="143">
        <f t="shared" si="40"/>
        <v>0</v>
      </c>
      <c r="DP52" s="143">
        <f t="shared" si="41"/>
        <v>10</v>
      </c>
      <c r="DQ52" s="143">
        <f t="shared" si="42"/>
        <v>0</v>
      </c>
      <c r="DR52" s="143">
        <f t="shared" si="43"/>
        <v>0</v>
      </c>
      <c r="DS52" s="143">
        <f t="shared" si="44"/>
        <v>0</v>
      </c>
      <c r="DT52" s="143">
        <f t="shared" si="45"/>
        <v>0</v>
      </c>
      <c r="DU52" s="143">
        <f t="shared" si="46"/>
        <v>0</v>
      </c>
      <c r="DV52" s="143">
        <f t="shared" si="47"/>
        <v>0</v>
      </c>
      <c r="DW52" s="143">
        <f t="shared" si="48"/>
        <v>0</v>
      </c>
      <c r="DX52" s="143">
        <f t="shared" si="49"/>
        <v>0</v>
      </c>
      <c r="DY52" s="143">
        <f t="shared" si="50"/>
        <v>0</v>
      </c>
      <c r="DZ52" s="143">
        <f t="shared" si="51"/>
        <v>0</v>
      </c>
      <c r="EA52" s="143">
        <f t="shared" ref="EA52:EL52" si="331">AR52*CK$2/($H52/50)^2</f>
        <v>0</v>
      </c>
      <c r="EB52" s="143">
        <f t="shared" si="331"/>
        <v>0</v>
      </c>
      <c r="EC52" s="143">
        <f t="shared" si="331"/>
        <v>0</v>
      </c>
      <c r="ED52" s="143">
        <f t="shared" si="331"/>
        <v>0</v>
      </c>
      <c r="EE52" s="143">
        <f t="shared" si="331"/>
        <v>0</v>
      </c>
      <c r="EF52" s="143">
        <f t="shared" si="331"/>
        <v>0</v>
      </c>
      <c r="EG52" s="143">
        <f t="shared" si="331"/>
        <v>0</v>
      </c>
      <c r="EH52" s="143">
        <f t="shared" si="331"/>
        <v>0</v>
      </c>
      <c r="EI52" s="143">
        <f t="shared" si="331"/>
        <v>0</v>
      </c>
      <c r="EJ52" s="143">
        <f t="shared" si="331"/>
        <v>0</v>
      </c>
      <c r="EK52" s="143">
        <f t="shared" si="331"/>
        <v>0</v>
      </c>
      <c r="EL52" s="143">
        <f t="shared" si="331"/>
        <v>0</v>
      </c>
    </row>
    <row r="53">
      <c r="A53" s="151" t="s">
        <v>109</v>
      </c>
      <c r="B53" s="132">
        <f t="shared" si="10"/>
        <v>0</v>
      </c>
      <c r="C53" s="146">
        <v>2.0</v>
      </c>
      <c r="D53" s="134">
        <f t="shared" si="11"/>
        <v>2</v>
      </c>
      <c r="E53" s="135">
        <f t="shared" si="12"/>
        <v>2</v>
      </c>
      <c r="F53" s="132">
        <f t="shared" si="13"/>
        <v>0</v>
      </c>
      <c r="G53" s="136">
        <f t="shared" si="14"/>
        <v>0</v>
      </c>
      <c r="H53" s="137">
        <v>100.0</v>
      </c>
      <c r="I53" s="138" t="str">
        <f t="shared" si="259"/>
        <v>Paste Base</v>
      </c>
      <c r="J53" s="139">
        <f t="shared" si="15"/>
        <v>394</v>
      </c>
      <c r="K53" s="140">
        <f t="shared" si="16"/>
        <v>197</v>
      </c>
      <c r="L53" s="139">
        <v>300.0</v>
      </c>
      <c r="M53" s="139">
        <v>1800.0</v>
      </c>
      <c r="N53" s="139">
        <v>2.0</v>
      </c>
      <c r="O53" s="141"/>
      <c r="P53" s="141"/>
      <c r="Q53" s="141"/>
      <c r="R53" s="141"/>
      <c r="S53" s="139">
        <v>1.0</v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39"/>
      <c r="AF53" s="139">
        <v>2.0</v>
      </c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2"/>
      <c r="BE53" s="143">
        <f t="shared" si="17"/>
        <v>600</v>
      </c>
      <c r="BF53" s="143">
        <f t="shared" si="18"/>
        <v>1800</v>
      </c>
      <c r="BG53" s="143">
        <f t="shared" ref="BG53:BT53" si="332">$G53*N53*IF($H53&gt;50,18,36)+$F53*N53*IF($H53&gt;50,4,8)+$E53*N53</f>
        <v>4</v>
      </c>
      <c r="BH53" s="143">
        <f t="shared" si="332"/>
        <v>0</v>
      </c>
      <c r="BI53" s="143">
        <f t="shared" si="332"/>
        <v>0</v>
      </c>
      <c r="BJ53" s="143">
        <f t="shared" si="332"/>
        <v>0</v>
      </c>
      <c r="BK53" s="143">
        <f t="shared" si="332"/>
        <v>0</v>
      </c>
      <c r="BL53" s="143">
        <f t="shared" si="332"/>
        <v>2</v>
      </c>
      <c r="BM53" s="143">
        <f t="shared" si="332"/>
        <v>0</v>
      </c>
      <c r="BN53" s="143">
        <f t="shared" si="332"/>
        <v>0</v>
      </c>
      <c r="BO53" s="143">
        <f t="shared" si="332"/>
        <v>0</v>
      </c>
      <c r="BP53" s="143">
        <f t="shared" si="332"/>
        <v>0</v>
      </c>
      <c r="BQ53" s="143">
        <f t="shared" si="332"/>
        <v>0</v>
      </c>
      <c r="BR53" s="143">
        <f t="shared" si="332"/>
        <v>0</v>
      </c>
      <c r="BS53" s="143">
        <f t="shared" si="332"/>
        <v>0</v>
      </c>
      <c r="BT53" s="143">
        <f t="shared" si="332"/>
        <v>0</v>
      </c>
      <c r="BU53" s="143">
        <f t="shared" si="20"/>
        <v>0</v>
      </c>
      <c r="BV53" s="143">
        <f t="shared" si="21"/>
        <v>0</v>
      </c>
      <c r="BW53" s="143">
        <f t="shared" ref="BW53:BX53" si="333">$G53*AD53*IF($H53&gt;50,18,36)+$F53*AD53*IF($H53&gt;50,4,8)+$E53*AD53</f>
        <v>0</v>
      </c>
      <c r="BX53" s="143">
        <f t="shared" si="333"/>
        <v>0</v>
      </c>
      <c r="BY53" s="143">
        <f t="shared" si="23"/>
        <v>0</v>
      </c>
      <c r="BZ53" s="143">
        <f t="shared" si="24"/>
        <v>4</v>
      </c>
      <c r="CA53" s="143">
        <f t="shared" si="25"/>
        <v>0</v>
      </c>
      <c r="CB53" s="143">
        <f t="shared" si="26"/>
        <v>0</v>
      </c>
      <c r="CC53" s="143">
        <f t="shared" si="27"/>
        <v>0</v>
      </c>
      <c r="CD53" s="143">
        <f t="shared" si="28"/>
        <v>0</v>
      </c>
      <c r="CE53" s="143">
        <f t="shared" si="29"/>
        <v>0</v>
      </c>
      <c r="CF53" s="143">
        <f t="shared" si="30"/>
        <v>0</v>
      </c>
      <c r="CG53" s="143">
        <f t="shared" si="31"/>
        <v>0</v>
      </c>
      <c r="CH53" s="143">
        <f t="shared" si="32"/>
        <v>0</v>
      </c>
      <c r="CI53" s="143">
        <f t="shared" si="33"/>
        <v>0</v>
      </c>
      <c r="CJ53" s="143">
        <f t="shared" si="34"/>
        <v>0</v>
      </c>
      <c r="CK53" s="143">
        <f t="shared" ref="CK53:CV53" si="334">$G53*AR53*IF($H53&gt;50,18,36)+$F53*AR53*IF($H53&gt;50,4,8)+$E53*AR53</f>
        <v>0</v>
      </c>
      <c r="CL53" s="143">
        <f t="shared" si="334"/>
        <v>0</v>
      </c>
      <c r="CM53" s="143">
        <f t="shared" si="334"/>
        <v>0</v>
      </c>
      <c r="CN53" s="143">
        <f t="shared" si="334"/>
        <v>0</v>
      </c>
      <c r="CO53" s="143">
        <f t="shared" si="334"/>
        <v>0</v>
      </c>
      <c r="CP53" s="143">
        <f t="shared" si="334"/>
        <v>0</v>
      </c>
      <c r="CQ53" s="143">
        <f t="shared" si="334"/>
        <v>0</v>
      </c>
      <c r="CR53" s="143">
        <f t="shared" si="334"/>
        <v>0</v>
      </c>
      <c r="CS53" s="143">
        <f t="shared" si="334"/>
        <v>0</v>
      </c>
      <c r="CT53" s="143">
        <f t="shared" si="334"/>
        <v>0</v>
      </c>
      <c r="CU53" s="143">
        <f t="shared" si="334"/>
        <v>0</v>
      </c>
      <c r="CV53" s="143">
        <f t="shared" si="334"/>
        <v>0</v>
      </c>
      <c r="CW53" s="143"/>
      <c r="CX53" s="143">
        <f t="shared" ref="CX53:DJ53" si="335">O53*BH$2/($H53/50)^2</f>
        <v>0</v>
      </c>
      <c r="CY53" s="143">
        <f t="shared" si="335"/>
        <v>0</v>
      </c>
      <c r="CZ53" s="143">
        <f t="shared" si="335"/>
        <v>0</v>
      </c>
      <c r="DA53" s="143">
        <f t="shared" si="335"/>
        <v>0</v>
      </c>
      <c r="DB53" s="143">
        <f t="shared" si="335"/>
        <v>12.5</v>
      </c>
      <c r="DC53" s="143">
        <f t="shared" si="335"/>
        <v>0</v>
      </c>
      <c r="DD53" s="143">
        <f t="shared" si="335"/>
        <v>0</v>
      </c>
      <c r="DE53" s="143">
        <f t="shared" si="335"/>
        <v>0</v>
      </c>
      <c r="DF53" s="143">
        <f t="shared" si="335"/>
        <v>0</v>
      </c>
      <c r="DG53" s="143">
        <f t="shared" si="335"/>
        <v>0</v>
      </c>
      <c r="DH53" s="143">
        <f t="shared" si="335"/>
        <v>0</v>
      </c>
      <c r="DI53" s="143">
        <f t="shared" si="335"/>
        <v>0</v>
      </c>
      <c r="DJ53" s="143">
        <f t="shared" si="335"/>
        <v>0</v>
      </c>
      <c r="DK53" s="143">
        <f t="shared" si="37"/>
        <v>0</v>
      </c>
      <c r="DL53" s="143">
        <f t="shared" si="38"/>
        <v>0</v>
      </c>
      <c r="DM53" s="143">
        <f t="shared" ref="DM53:DN53" si="336">AD53*BW$2/($H53/50)^2</f>
        <v>0</v>
      </c>
      <c r="DN53" s="143">
        <f t="shared" si="336"/>
        <v>0</v>
      </c>
      <c r="DO53" s="143">
        <f t="shared" si="40"/>
        <v>0</v>
      </c>
      <c r="DP53" s="143">
        <f t="shared" si="41"/>
        <v>20</v>
      </c>
      <c r="DQ53" s="143">
        <f t="shared" si="42"/>
        <v>0</v>
      </c>
      <c r="DR53" s="143">
        <f t="shared" si="43"/>
        <v>0</v>
      </c>
      <c r="DS53" s="143">
        <f t="shared" si="44"/>
        <v>0</v>
      </c>
      <c r="DT53" s="143">
        <f t="shared" si="45"/>
        <v>0</v>
      </c>
      <c r="DU53" s="143">
        <f t="shared" si="46"/>
        <v>0</v>
      </c>
      <c r="DV53" s="143">
        <f t="shared" si="47"/>
        <v>0</v>
      </c>
      <c r="DW53" s="143">
        <f t="shared" si="48"/>
        <v>0</v>
      </c>
      <c r="DX53" s="143">
        <f t="shared" si="49"/>
        <v>0</v>
      </c>
      <c r="DY53" s="143">
        <f t="shared" si="50"/>
        <v>0</v>
      </c>
      <c r="DZ53" s="143">
        <f t="shared" si="51"/>
        <v>0</v>
      </c>
      <c r="EA53" s="143">
        <f t="shared" ref="EA53:EL53" si="337">AR53*CK$2/($H53/50)^2</f>
        <v>0</v>
      </c>
      <c r="EB53" s="143">
        <f t="shared" si="337"/>
        <v>0</v>
      </c>
      <c r="EC53" s="143">
        <f t="shared" si="337"/>
        <v>0</v>
      </c>
      <c r="ED53" s="143">
        <f t="shared" si="337"/>
        <v>0</v>
      </c>
      <c r="EE53" s="143">
        <f t="shared" si="337"/>
        <v>0</v>
      </c>
      <c r="EF53" s="143">
        <f t="shared" si="337"/>
        <v>0</v>
      </c>
      <c r="EG53" s="143">
        <f t="shared" si="337"/>
        <v>0</v>
      </c>
      <c r="EH53" s="143">
        <f t="shared" si="337"/>
        <v>0</v>
      </c>
      <c r="EI53" s="143">
        <f t="shared" si="337"/>
        <v>0</v>
      </c>
      <c r="EJ53" s="143">
        <f t="shared" si="337"/>
        <v>0</v>
      </c>
      <c r="EK53" s="143">
        <f t="shared" si="337"/>
        <v>0</v>
      </c>
      <c r="EL53" s="143">
        <f t="shared" si="337"/>
        <v>0</v>
      </c>
    </row>
    <row r="54">
      <c r="A54" s="151" t="s">
        <v>110</v>
      </c>
      <c r="B54" s="132">
        <f t="shared" si="10"/>
        <v>0</v>
      </c>
      <c r="C54" s="148"/>
      <c r="D54" s="134">
        <f t="shared" si="11"/>
        <v>0</v>
      </c>
      <c r="E54" s="135">
        <f t="shared" si="12"/>
        <v>0</v>
      </c>
      <c r="F54" s="132">
        <f t="shared" si="13"/>
        <v>0</v>
      </c>
      <c r="G54" s="136">
        <f t="shared" si="14"/>
        <v>0</v>
      </c>
      <c r="H54" s="137">
        <v>100.0</v>
      </c>
      <c r="I54" s="138" t="str">
        <f t="shared" si="259"/>
        <v>Paste Base</v>
      </c>
      <c r="J54" s="139">
        <f t="shared" si="15"/>
        <v>0</v>
      </c>
      <c r="K54" s="140">
        <f t="shared" si="16"/>
        <v>182</v>
      </c>
      <c r="L54" s="139">
        <v>200.0</v>
      </c>
      <c r="M54" s="139">
        <v>1500.0</v>
      </c>
      <c r="N54" s="139">
        <v>4.0</v>
      </c>
      <c r="O54" s="141"/>
      <c r="P54" s="141"/>
      <c r="Q54" s="141"/>
      <c r="R54" s="141"/>
      <c r="S54" s="139">
        <v>1.0</v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39">
        <v>4.0</v>
      </c>
      <c r="AV54" s="139"/>
      <c r="AW54" s="141"/>
      <c r="AX54" s="141"/>
      <c r="AY54" s="141"/>
      <c r="AZ54" s="141"/>
      <c r="BA54" s="141"/>
      <c r="BB54" s="141"/>
      <c r="BC54" s="141"/>
      <c r="BD54" s="142"/>
      <c r="BE54" s="143">
        <f t="shared" si="17"/>
        <v>0</v>
      </c>
      <c r="BF54" s="143">
        <f t="shared" si="18"/>
        <v>0</v>
      </c>
      <c r="BG54" s="143">
        <f t="shared" ref="BG54:BT54" si="338">$G54*N54*IF($H54&gt;50,18,36)+$F54*N54*IF($H54&gt;50,4,8)+$E54*N54</f>
        <v>0</v>
      </c>
      <c r="BH54" s="143">
        <f t="shared" si="338"/>
        <v>0</v>
      </c>
      <c r="BI54" s="143">
        <f t="shared" si="338"/>
        <v>0</v>
      </c>
      <c r="BJ54" s="143">
        <f t="shared" si="338"/>
        <v>0</v>
      </c>
      <c r="BK54" s="143">
        <f t="shared" si="338"/>
        <v>0</v>
      </c>
      <c r="BL54" s="143">
        <f t="shared" si="338"/>
        <v>0</v>
      </c>
      <c r="BM54" s="143">
        <f t="shared" si="338"/>
        <v>0</v>
      </c>
      <c r="BN54" s="143">
        <f t="shared" si="338"/>
        <v>0</v>
      </c>
      <c r="BO54" s="143">
        <f t="shared" si="338"/>
        <v>0</v>
      </c>
      <c r="BP54" s="143">
        <f t="shared" si="338"/>
        <v>0</v>
      </c>
      <c r="BQ54" s="143">
        <f t="shared" si="338"/>
        <v>0</v>
      </c>
      <c r="BR54" s="143">
        <f t="shared" si="338"/>
        <v>0</v>
      </c>
      <c r="BS54" s="143">
        <f t="shared" si="338"/>
        <v>0</v>
      </c>
      <c r="BT54" s="143">
        <f t="shared" si="338"/>
        <v>0</v>
      </c>
      <c r="BU54" s="143">
        <f t="shared" si="20"/>
        <v>0</v>
      </c>
      <c r="BV54" s="143">
        <f t="shared" si="21"/>
        <v>0</v>
      </c>
      <c r="BW54" s="143">
        <f t="shared" ref="BW54:BX54" si="339">$G54*AD54*IF($H54&gt;50,18,36)+$F54*AD54*IF($H54&gt;50,4,8)+$E54*AD54</f>
        <v>0</v>
      </c>
      <c r="BX54" s="143">
        <f t="shared" si="339"/>
        <v>0</v>
      </c>
      <c r="BY54" s="143">
        <f t="shared" si="23"/>
        <v>0</v>
      </c>
      <c r="BZ54" s="143">
        <f t="shared" si="24"/>
        <v>0</v>
      </c>
      <c r="CA54" s="143">
        <f t="shared" si="25"/>
        <v>0</v>
      </c>
      <c r="CB54" s="143">
        <f t="shared" si="26"/>
        <v>0</v>
      </c>
      <c r="CC54" s="143">
        <f t="shared" si="27"/>
        <v>0</v>
      </c>
      <c r="CD54" s="143">
        <f t="shared" si="28"/>
        <v>0</v>
      </c>
      <c r="CE54" s="143">
        <f t="shared" si="29"/>
        <v>0</v>
      </c>
      <c r="CF54" s="143">
        <f t="shared" si="30"/>
        <v>0</v>
      </c>
      <c r="CG54" s="143">
        <f t="shared" si="31"/>
        <v>0</v>
      </c>
      <c r="CH54" s="143">
        <f t="shared" si="32"/>
        <v>0</v>
      </c>
      <c r="CI54" s="143">
        <f t="shared" si="33"/>
        <v>0</v>
      </c>
      <c r="CJ54" s="143">
        <f t="shared" si="34"/>
        <v>0</v>
      </c>
      <c r="CK54" s="143">
        <f t="shared" ref="CK54:CV54" si="340">$G54*AR54*IF($H54&gt;50,18,36)+$F54*AR54*IF($H54&gt;50,4,8)+$E54*AR54</f>
        <v>0</v>
      </c>
      <c r="CL54" s="143">
        <f t="shared" si="340"/>
        <v>0</v>
      </c>
      <c r="CM54" s="143">
        <f t="shared" si="340"/>
        <v>0</v>
      </c>
      <c r="CN54" s="143">
        <f t="shared" si="340"/>
        <v>0</v>
      </c>
      <c r="CO54" s="143">
        <f t="shared" si="340"/>
        <v>0</v>
      </c>
      <c r="CP54" s="143">
        <f t="shared" si="340"/>
        <v>0</v>
      </c>
      <c r="CQ54" s="143">
        <f t="shared" si="340"/>
        <v>0</v>
      </c>
      <c r="CR54" s="143">
        <f t="shared" si="340"/>
        <v>0</v>
      </c>
      <c r="CS54" s="143">
        <f t="shared" si="340"/>
        <v>0</v>
      </c>
      <c r="CT54" s="143">
        <f t="shared" si="340"/>
        <v>0</v>
      </c>
      <c r="CU54" s="143">
        <f t="shared" si="340"/>
        <v>0</v>
      </c>
      <c r="CV54" s="143">
        <f t="shared" si="340"/>
        <v>0</v>
      </c>
      <c r="CW54" s="143"/>
      <c r="CX54" s="143">
        <f t="shared" ref="CX54:DJ54" si="341">O54*BH$2/($H54/50)^2</f>
        <v>0</v>
      </c>
      <c r="CY54" s="143">
        <f t="shared" si="341"/>
        <v>0</v>
      </c>
      <c r="CZ54" s="143">
        <f t="shared" si="341"/>
        <v>0</v>
      </c>
      <c r="DA54" s="143">
        <f t="shared" si="341"/>
        <v>0</v>
      </c>
      <c r="DB54" s="143">
        <f t="shared" si="341"/>
        <v>12.5</v>
      </c>
      <c r="DC54" s="143">
        <f t="shared" si="341"/>
        <v>0</v>
      </c>
      <c r="DD54" s="143">
        <f t="shared" si="341"/>
        <v>0</v>
      </c>
      <c r="DE54" s="143">
        <f t="shared" si="341"/>
        <v>0</v>
      </c>
      <c r="DF54" s="143">
        <f t="shared" si="341"/>
        <v>0</v>
      </c>
      <c r="DG54" s="143">
        <f t="shared" si="341"/>
        <v>0</v>
      </c>
      <c r="DH54" s="143">
        <f t="shared" si="341"/>
        <v>0</v>
      </c>
      <c r="DI54" s="143">
        <f t="shared" si="341"/>
        <v>0</v>
      </c>
      <c r="DJ54" s="143">
        <f t="shared" si="341"/>
        <v>0</v>
      </c>
      <c r="DK54" s="143">
        <f t="shared" si="37"/>
        <v>0</v>
      </c>
      <c r="DL54" s="143">
        <f t="shared" si="38"/>
        <v>0</v>
      </c>
      <c r="DM54" s="143">
        <f t="shared" ref="DM54:DN54" si="342">AD54*BW$2/($H54/50)^2</f>
        <v>0</v>
      </c>
      <c r="DN54" s="143">
        <f t="shared" si="342"/>
        <v>0</v>
      </c>
      <c r="DO54" s="143">
        <f t="shared" si="40"/>
        <v>0</v>
      </c>
      <c r="DP54" s="143">
        <f t="shared" si="41"/>
        <v>0</v>
      </c>
      <c r="DQ54" s="143">
        <f t="shared" si="42"/>
        <v>0</v>
      </c>
      <c r="DR54" s="143">
        <f t="shared" si="43"/>
        <v>0</v>
      </c>
      <c r="DS54" s="143">
        <f t="shared" si="44"/>
        <v>0</v>
      </c>
      <c r="DT54" s="143">
        <f t="shared" si="45"/>
        <v>0</v>
      </c>
      <c r="DU54" s="143">
        <f t="shared" si="46"/>
        <v>0</v>
      </c>
      <c r="DV54" s="143">
        <f t="shared" si="47"/>
        <v>0</v>
      </c>
      <c r="DW54" s="143">
        <f t="shared" si="48"/>
        <v>0</v>
      </c>
      <c r="DX54" s="143">
        <f t="shared" si="49"/>
        <v>0</v>
      </c>
      <c r="DY54" s="143">
        <f t="shared" si="50"/>
        <v>0</v>
      </c>
      <c r="DZ54" s="143">
        <f t="shared" si="51"/>
        <v>0</v>
      </c>
      <c r="EA54" s="143">
        <f t="shared" ref="EA54:EL54" si="343">AR54*CK$2/($H54/50)^2</f>
        <v>0</v>
      </c>
      <c r="EB54" s="143">
        <f t="shared" si="343"/>
        <v>0</v>
      </c>
      <c r="EC54" s="143">
        <f t="shared" si="343"/>
        <v>0</v>
      </c>
      <c r="ED54" s="143">
        <f t="shared" si="343"/>
        <v>5</v>
      </c>
      <c r="EE54" s="143">
        <f t="shared" si="343"/>
        <v>0</v>
      </c>
      <c r="EF54" s="143">
        <f t="shared" si="343"/>
        <v>0</v>
      </c>
      <c r="EG54" s="143">
        <f t="shared" si="343"/>
        <v>0</v>
      </c>
      <c r="EH54" s="143">
        <f t="shared" si="343"/>
        <v>0</v>
      </c>
      <c r="EI54" s="143">
        <f t="shared" si="343"/>
        <v>0</v>
      </c>
      <c r="EJ54" s="143">
        <f t="shared" si="343"/>
        <v>0</v>
      </c>
      <c r="EK54" s="143">
        <f t="shared" si="343"/>
        <v>0</v>
      </c>
      <c r="EL54" s="143">
        <f t="shared" si="343"/>
        <v>0</v>
      </c>
    </row>
    <row r="55">
      <c r="A55" s="151" t="s">
        <v>111</v>
      </c>
      <c r="B55" s="132">
        <f t="shared" si="10"/>
        <v>0</v>
      </c>
      <c r="C55" s="148"/>
      <c r="D55" s="134">
        <f t="shared" si="11"/>
        <v>0</v>
      </c>
      <c r="E55" s="135">
        <f t="shared" si="12"/>
        <v>0</v>
      </c>
      <c r="F55" s="132">
        <f t="shared" si="13"/>
        <v>0</v>
      </c>
      <c r="G55" s="136">
        <f t="shared" si="14"/>
        <v>0</v>
      </c>
      <c r="H55" s="137">
        <v>100.0</v>
      </c>
      <c r="I55" s="138" t="str">
        <f t="shared" si="259"/>
        <v>Paste Base</v>
      </c>
      <c r="J55" s="139">
        <f t="shared" si="15"/>
        <v>0</v>
      </c>
      <c r="K55" s="140">
        <f t="shared" si="16"/>
        <v>169</v>
      </c>
      <c r="L55" s="139">
        <v>100.0</v>
      </c>
      <c r="M55" s="139">
        <v>1000.0</v>
      </c>
      <c r="N55" s="139">
        <v>2.0</v>
      </c>
      <c r="O55" s="141"/>
      <c r="P55" s="139"/>
      <c r="Q55" s="139">
        <v>1.0</v>
      </c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39"/>
      <c r="AS55" s="141"/>
      <c r="AT55" s="139">
        <v>1.0</v>
      </c>
      <c r="AU55" s="141"/>
      <c r="AV55" s="141"/>
      <c r="AW55" s="141"/>
      <c r="AX55" s="141"/>
      <c r="AY55" s="141"/>
      <c r="AZ55" s="141"/>
      <c r="BA55" s="141"/>
      <c r="BB55" s="141"/>
      <c r="BC55" s="141"/>
      <c r="BD55" s="142"/>
      <c r="BE55" s="143">
        <f t="shared" si="17"/>
        <v>0</v>
      </c>
      <c r="BF55" s="143">
        <f t="shared" si="18"/>
        <v>0</v>
      </c>
      <c r="BG55" s="143">
        <f t="shared" ref="BG55:BT55" si="344">$G55*N55*IF($H55&gt;50,18,36)+$F55*N55*IF($H55&gt;50,4,8)+$E55*N55</f>
        <v>0</v>
      </c>
      <c r="BH55" s="143">
        <f t="shared" si="344"/>
        <v>0</v>
      </c>
      <c r="BI55" s="143">
        <f t="shared" si="344"/>
        <v>0</v>
      </c>
      <c r="BJ55" s="143">
        <f t="shared" si="344"/>
        <v>0</v>
      </c>
      <c r="BK55" s="143">
        <f t="shared" si="344"/>
        <v>0</v>
      </c>
      <c r="BL55" s="143">
        <f t="shared" si="344"/>
        <v>0</v>
      </c>
      <c r="BM55" s="143">
        <f t="shared" si="344"/>
        <v>0</v>
      </c>
      <c r="BN55" s="143">
        <f t="shared" si="344"/>
        <v>0</v>
      </c>
      <c r="BO55" s="143">
        <f t="shared" si="344"/>
        <v>0</v>
      </c>
      <c r="BP55" s="143">
        <f t="shared" si="344"/>
        <v>0</v>
      </c>
      <c r="BQ55" s="143">
        <f t="shared" si="344"/>
        <v>0</v>
      </c>
      <c r="BR55" s="143">
        <f t="shared" si="344"/>
        <v>0</v>
      </c>
      <c r="BS55" s="143">
        <f t="shared" si="344"/>
        <v>0</v>
      </c>
      <c r="BT55" s="143">
        <f t="shared" si="344"/>
        <v>0</v>
      </c>
      <c r="BU55" s="143">
        <f t="shared" si="20"/>
        <v>0</v>
      </c>
      <c r="BV55" s="143">
        <f t="shared" si="21"/>
        <v>0</v>
      </c>
      <c r="BW55" s="143">
        <f t="shared" ref="BW55:BX55" si="345">$G55*AD55*IF($H55&gt;50,18,36)+$F55*AD55*IF($H55&gt;50,4,8)+$E55*AD55</f>
        <v>0</v>
      </c>
      <c r="BX55" s="143">
        <f t="shared" si="345"/>
        <v>0</v>
      </c>
      <c r="BY55" s="143">
        <f t="shared" si="23"/>
        <v>0</v>
      </c>
      <c r="BZ55" s="143">
        <f t="shared" si="24"/>
        <v>0</v>
      </c>
      <c r="CA55" s="143">
        <f t="shared" si="25"/>
        <v>0</v>
      </c>
      <c r="CB55" s="143">
        <f t="shared" si="26"/>
        <v>0</v>
      </c>
      <c r="CC55" s="143">
        <f t="shared" si="27"/>
        <v>0</v>
      </c>
      <c r="CD55" s="143">
        <f t="shared" si="28"/>
        <v>0</v>
      </c>
      <c r="CE55" s="143">
        <f t="shared" si="29"/>
        <v>0</v>
      </c>
      <c r="CF55" s="143">
        <f t="shared" si="30"/>
        <v>0</v>
      </c>
      <c r="CG55" s="143">
        <f t="shared" si="31"/>
        <v>0</v>
      </c>
      <c r="CH55" s="143">
        <f t="shared" si="32"/>
        <v>0</v>
      </c>
      <c r="CI55" s="143">
        <f t="shared" si="33"/>
        <v>0</v>
      </c>
      <c r="CJ55" s="143">
        <f t="shared" si="34"/>
        <v>0</v>
      </c>
      <c r="CK55" s="143">
        <f t="shared" ref="CK55:CV55" si="346">$G55*AR55*IF($H55&gt;50,18,36)+$F55*AR55*IF($H55&gt;50,4,8)+$E55*AR55</f>
        <v>0</v>
      </c>
      <c r="CL55" s="143">
        <f t="shared" si="346"/>
        <v>0</v>
      </c>
      <c r="CM55" s="143">
        <f t="shared" si="346"/>
        <v>0</v>
      </c>
      <c r="CN55" s="143">
        <f t="shared" si="346"/>
        <v>0</v>
      </c>
      <c r="CO55" s="143">
        <f t="shared" si="346"/>
        <v>0</v>
      </c>
      <c r="CP55" s="143">
        <f t="shared" si="346"/>
        <v>0</v>
      </c>
      <c r="CQ55" s="143">
        <f t="shared" si="346"/>
        <v>0</v>
      </c>
      <c r="CR55" s="143">
        <f t="shared" si="346"/>
        <v>0</v>
      </c>
      <c r="CS55" s="143">
        <f t="shared" si="346"/>
        <v>0</v>
      </c>
      <c r="CT55" s="143">
        <f t="shared" si="346"/>
        <v>0</v>
      </c>
      <c r="CU55" s="143">
        <f t="shared" si="346"/>
        <v>0</v>
      </c>
      <c r="CV55" s="143">
        <f t="shared" si="346"/>
        <v>0</v>
      </c>
      <c r="CW55" s="143"/>
      <c r="CX55" s="143">
        <f t="shared" ref="CX55:DJ55" si="347">O55*BH$2/($H55/50)^2</f>
        <v>0</v>
      </c>
      <c r="CY55" s="143">
        <f t="shared" si="347"/>
        <v>0</v>
      </c>
      <c r="CZ55" s="143">
        <f t="shared" si="347"/>
        <v>2.5</v>
      </c>
      <c r="DA55" s="143">
        <f t="shared" si="347"/>
        <v>0</v>
      </c>
      <c r="DB55" s="143">
        <f t="shared" si="347"/>
        <v>0</v>
      </c>
      <c r="DC55" s="143">
        <f t="shared" si="347"/>
        <v>0</v>
      </c>
      <c r="DD55" s="143">
        <f t="shared" si="347"/>
        <v>0</v>
      </c>
      <c r="DE55" s="143">
        <f t="shared" si="347"/>
        <v>0</v>
      </c>
      <c r="DF55" s="143">
        <f t="shared" si="347"/>
        <v>0</v>
      </c>
      <c r="DG55" s="143">
        <f t="shared" si="347"/>
        <v>0</v>
      </c>
      <c r="DH55" s="143">
        <f t="shared" si="347"/>
        <v>0</v>
      </c>
      <c r="DI55" s="143">
        <f t="shared" si="347"/>
        <v>0</v>
      </c>
      <c r="DJ55" s="143">
        <f t="shared" si="347"/>
        <v>0</v>
      </c>
      <c r="DK55" s="143">
        <f t="shared" si="37"/>
        <v>0</v>
      </c>
      <c r="DL55" s="143">
        <f t="shared" si="38"/>
        <v>0</v>
      </c>
      <c r="DM55" s="143">
        <f t="shared" ref="DM55:DN55" si="348">AD55*BW$2/($H55/50)^2</f>
        <v>0</v>
      </c>
      <c r="DN55" s="143">
        <f t="shared" si="348"/>
        <v>0</v>
      </c>
      <c r="DO55" s="143">
        <f t="shared" si="40"/>
        <v>0</v>
      </c>
      <c r="DP55" s="143">
        <f t="shared" si="41"/>
        <v>0</v>
      </c>
      <c r="DQ55" s="143">
        <f t="shared" si="42"/>
        <v>0</v>
      </c>
      <c r="DR55" s="143">
        <f t="shared" si="43"/>
        <v>0</v>
      </c>
      <c r="DS55" s="143">
        <f t="shared" si="44"/>
        <v>0</v>
      </c>
      <c r="DT55" s="143">
        <f t="shared" si="45"/>
        <v>0</v>
      </c>
      <c r="DU55" s="143">
        <f t="shared" si="46"/>
        <v>0</v>
      </c>
      <c r="DV55" s="143">
        <f t="shared" si="47"/>
        <v>0</v>
      </c>
      <c r="DW55" s="143">
        <f t="shared" si="48"/>
        <v>0</v>
      </c>
      <c r="DX55" s="143">
        <f t="shared" si="49"/>
        <v>0</v>
      </c>
      <c r="DY55" s="143">
        <f t="shared" si="50"/>
        <v>0</v>
      </c>
      <c r="DZ55" s="143">
        <f t="shared" si="51"/>
        <v>0</v>
      </c>
      <c r="EA55" s="143">
        <f t="shared" ref="EA55:EL55" si="349">AR55*CK$2/($H55/50)^2</f>
        <v>0</v>
      </c>
      <c r="EB55" s="143">
        <f t="shared" si="349"/>
        <v>0</v>
      </c>
      <c r="EC55" s="143">
        <f t="shared" si="349"/>
        <v>2</v>
      </c>
      <c r="ED55" s="143">
        <f t="shared" si="349"/>
        <v>0</v>
      </c>
      <c r="EE55" s="143">
        <f t="shared" si="349"/>
        <v>0</v>
      </c>
      <c r="EF55" s="143">
        <f t="shared" si="349"/>
        <v>0</v>
      </c>
      <c r="EG55" s="143">
        <f t="shared" si="349"/>
        <v>0</v>
      </c>
      <c r="EH55" s="143">
        <f t="shared" si="349"/>
        <v>0</v>
      </c>
      <c r="EI55" s="143">
        <f t="shared" si="349"/>
        <v>0</v>
      </c>
      <c r="EJ55" s="143">
        <f t="shared" si="349"/>
        <v>0</v>
      </c>
      <c r="EK55" s="143">
        <f t="shared" si="349"/>
        <v>0</v>
      </c>
      <c r="EL55" s="143">
        <f t="shared" si="349"/>
        <v>0</v>
      </c>
    </row>
    <row r="56">
      <c r="A56" s="151" t="s">
        <v>112</v>
      </c>
      <c r="B56" s="132">
        <f t="shared" si="10"/>
        <v>0</v>
      </c>
      <c r="C56" s="148"/>
      <c r="D56" s="134">
        <f t="shared" si="11"/>
        <v>0</v>
      </c>
      <c r="E56" s="135">
        <f t="shared" si="12"/>
        <v>0</v>
      </c>
      <c r="F56" s="132">
        <f t="shared" si="13"/>
        <v>0</v>
      </c>
      <c r="G56" s="136">
        <f t="shared" si="14"/>
        <v>0</v>
      </c>
      <c r="H56" s="137">
        <v>100.0</v>
      </c>
      <c r="I56" s="138" t="str">
        <f t="shared" si="259"/>
        <v>Paste Base</v>
      </c>
      <c r="J56" s="139">
        <f t="shared" si="15"/>
        <v>0</v>
      </c>
      <c r="K56" s="140">
        <f t="shared" si="16"/>
        <v>181</v>
      </c>
      <c r="L56" s="139">
        <v>200.0</v>
      </c>
      <c r="M56" s="139">
        <v>2000.0</v>
      </c>
      <c r="N56" s="139">
        <v>4.0</v>
      </c>
      <c r="O56" s="141"/>
      <c r="P56" s="141"/>
      <c r="Q56" s="141"/>
      <c r="R56" s="141"/>
      <c r="S56" s="139">
        <v>1.0</v>
      </c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39"/>
      <c r="AS56" s="141"/>
      <c r="AT56" s="139">
        <v>2.0</v>
      </c>
      <c r="AU56" s="141"/>
      <c r="AV56" s="141"/>
      <c r="AW56" s="141"/>
      <c r="AX56" s="141"/>
      <c r="AY56" s="141"/>
      <c r="AZ56" s="141"/>
      <c r="BA56" s="141"/>
      <c r="BB56" s="141"/>
      <c r="BC56" s="141"/>
      <c r="BD56" s="142"/>
      <c r="BE56" s="143">
        <f t="shared" si="17"/>
        <v>0</v>
      </c>
      <c r="BF56" s="143">
        <f t="shared" si="18"/>
        <v>0</v>
      </c>
      <c r="BG56" s="143">
        <f t="shared" ref="BG56:BT56" si="350">$G56*N56*IF($H56&gt;50,18,36)+$F56*N56*IF($H56&gt;50,4,8)+$E56*N56</f>
        <v>0</v>
      </c>
      <c r="BH56" s="143">
        <f t="shared" si="350"/>
        <v>0</v>
      </c>
      <c r="BI56" s="143">
        <f t="shared" si="350"/>
        <v>0</v>
      </c>
      <c r="BJ56" s="143">
        <f t="shared" si="350"/>
        <v>0</v>
      </c>
      <c r="BK56" s="143">
        <f t="shared" si="350"/>
        <v>0</v>
      </c>
      <c r="BL56" s="143">
        <f t="shared" si="350"/>
        <v>0</v>
      </c>
      <c r="BM56" s="143">
        <f t="shared" si="350"/>
        <v>0</v>
      </c>
      <c r="BN56" s="143">
        <f t="shared" si="350"/>
        <v>0</v>
      </c>
      <c r="BO56" s="143">
        <f t="shared" si="350"/>
        <v>0</v>
      </c>
      <c r="BP56" s="143">
        <f t="shared" si="350"/>
        <v>0</v>
      </c>
      <c r="BQ56" s="143">
        <f t="shared" si="350"/>
        <v>0</v>
      </c>
      <c r="BR56" s="143">
        <f t="shared" si="350"/>
        <v>0</v>
      </c>
      <c r="BS56" s="143">
        <f t="shared" si="350"/>
        <v>0</v>
      </c>
      <c r="BT56" s="143">
        <f t="shared" si="350"/>
        <v>0</v>
      </c>
      <c r="BU56" s="143">
        <f t="shared" si="20"/>
        <v>0</v>
      </c>
      <c r="BV56" s="143">
        <f t="shared" si="21"/>
        <v>0</v>
      </c>
      <c r="BW56" s="143">
        <f t="shared" ref="BW56:BX56" si="351">$G56*AD56*IF($H56&gt;50,18,36)+$F56*AD56*IF($H56&gt;50,4,8)+$E56*AD56</f>
        <v>0</v>
      </c>
      <c r="BX56" s="143">
        <f t="shared" si="351"/>
        <v>0</v>
      </c>
      <c r="BY56" s="143">
        <f t="shared" si="23"/>
        <v>0</v>
      </c>
      <c r="BZ56" s="143">
        <f t="shared" si="24"/>
        <v>0</v>
      </c>
      <c r="CA56" s="143">
        <f t="shared" si="25"/>
        <v>0</v>
      </c>
      <c r="CB56" s="143">
        <f t="shared" si="26"/>
        <v>0</v>
      </c>
      <c r="CC56" s="143">
        <f t="shared" si="27"/>
        <v>0</v>
      </c>
      <c r="CD56" s="143">
        <f t="shared" si="28"/>
        <v>0</v>
      </c>
      <c r="CE56" s="143">
        <f t="shared" si="29"/>
        <v>0</v>
      </c>
      <c r="CF56" s="143">
        <f t="shared" si="30"/>
        <v>0</v>
      </c>
      <c r="CG56" s="143">
        <f t="shared" si="31"/>
        <v>0</v>
      </c>
      <c r="CH56" s="143">
        <f t="shared" si="32"/>
        <v>0</v>
      </c>
      <c r="CI56" s="143">
        <f t="shared" si="33"/>
        <v>0</v>
      </c>
      <c r="CJ56" s="143">
        <f t="shared" si="34"/>
        <v>0</v>
      </c>
      <c r="CK56" s="143">
        <f t="shared" ref="CK56:CV56" si="352">$G56*AR56*IF($H56&gt;50,18,36)+$F56*AR56*IF($H56&gt;50,4,8)+$E56*AR56</f>
        <v>0</v>
      </c>
      <c r="CL56" s="143">
        <f t="shared" si="352"/>
        <v>0</v>
      </c>
      <c r="CM56" s="143">
        <f t="shared" si="352"/>
        <v>0</v>
      </c>
      <c r="CN56" s="143">
        <f t="shared" si="352"/>
        <v>0</v>
      </c>
      <c r="CO56" s="143">
        <f t="shared" si="352"/>
        <v>0</v>
      </c>
      <c r="CP56" s="143">
        <f t="shared" si="352"/>
        <v>0</v>
      </c>
      <c r="CQ56" s="143">
        <f t="shared" si="352"/>
        <v>0</v>
      </c>
      <c r="CR56" s="143">
        <f t="shared" si="352"/>
        <v>0</v>
      </c>
      <c r="CS56" s="143">
        <f t="shared" si="352"/>
        <v>0</v>
      </c>
      <c r="CT56" s="143">
        <f t="shared" si="352"/>
        <v>0</v>
      </c>
      <c r="CU56" s="143">
        <f t="shared" si="352"/>
        <v>0</v>
      </c>
      <c r="CV56" s="143">
        <f t="shared" si="352"/>
        <v>0</v>
      </c>
      <c r="CW56" s="143"/>
      <c r="CX56" s="143">
        <f t="shared" ref="CX56:DJ56" si="353">O56*BH$2/($H56/50)^2</f>
        <v>0</v>
      </c>
      <c r="CY56" s="143">
        <f t="shared" si="353"/>
        <v>0</v>
      </c>
      <c r="CZ56" s="143">
        <f t="shared" si="353"/>
        <v>0</v>
      </c>
      <c r="DA56" s="143">
        <f t="shared" si="353"/>
        <v>0</v>
      </c>
      <c r="DB56" s="143">
        <f t="shared" si="353"/>
        <v>12.5</v>
      </c>
      <c r="DC56" s="143">
        <f t="shared" si="353"/>
        <v>0</v>
      </c>
      <c r="DD56" s="143">
        <f t="shared" si="353"/>
        <v>0</v>
      </c>
      <c r="DE56" s="143">
        <f t="shared" si="353"/>
        <v>0</v>
      </c>
      <c r="DF56" s="143">
        <f t="shared" si="353"/>
        <v>0</v>
      </c>
      <c r="DG56" s="143">
        <f t="shared" si="353"/>
        <v>0</v>
      </c>
      <c r="DH56" s="143">
        <f t="shared" si="353"/>
        <v>0</v>
      </c>
      <c r="DI56" s="143">
        <f t="shared" si="353"/>
        <v>0</v>
      </c>
      <c r="DJ56" s="143">
        <f t="shared" si="353"/>
        <v>0</v>
      </c>
      <c r="DK56" s="143">
        <f t="shared" si="37"/>
        <v>0</v>
      </c>
      <c r="DL56" s="143">
        <f t="shared" si="38"/>
        <v>0</v>
      </c>
      <c r="DM56" s="143">
        <f t="shared" ref="DM56:DN56" si="354">AD56*BW$2/($H56/50)^2</f>
        <v>0</v>
      </c>
      <c r="DN56" s="143">
        <f t="shared" si="354"/>
        <v>0</v>
      </c>
      <c r="DO56" s="143">
        <f t="shared" si="40"/>
        <v>0</v>
      </c>
      <c r="DP56" s="143">
        <f t="shared" si="41"/>
        <v>0</v>
      </c>
      <c r="DQ56" s="143">
        <f t="shared" si="42"/>
        <v>0</v>
      </c>
      <c r="DR56" s="143">
        <f t="shared" si="43"/>
        <v>0</v>
      </c>
      <c r="DS56" s="143">
        <f t="shared" si="44"/>
        <v>0</v>
      </c>
      <c r="DT56" s="143">
        <f t="shared" si="45"/>
        <v>0</v>
      </c>
      <c r="DU56" s="143">
        <f t="shared" si="46"/>
        <v>0</v>
      </c>
      <c r="DV56" s="143">
        <f t="shared" si="47"/>
        <v>0</v>
      </c>
      <c r="DW56" s="143">
        <f t="shared" si="48"/>
        <v>0</v>
      </c>
      <c r="DX56" s="143">
        <f t="shared" si="49"/>
        <v>0</v>
      </c>
      <c r="DY56" s="143">
        <f t="shared" si="50"/>
        <v>0</v>
      </c>
      <c r="DZ56" s="143">
        <f t="shared" si="51"/>
        <v>0</v>
      </c>
      <c r="EA56" s="143">
        <f t="shared" ref="EA56:EL56" si="355">AR56*CK$2/($H56/50)^2</f>
        <v>0</v>
      </c>
      <c r="EB56" s="143">
        <f t="shared" si="355"/>
        <v>0</v>
      </c>
      <c r="EC56" s="143">
        <f t="shared" si="355"/>
        <v>4</v>
      </c>
      <c r="ED56" s="143">
        <f t="shared" si="355"/>
        <v>0</v>
      </c>
      <c r="EE56" s="143">
        <f t="shared" si="355"/>
        <v>0</v>
      </c>
      <c r="EF56" s="143">
        <f t="shared" si="355"/>
        <v>0</v>
      </c>
      <c r="EG56" s="143">
        <f t="shared" si="355"/>
        <v>0</v>
      </c>
      <c r="EH56" s="143">
        <f t="shared" si="355"/>
        <v>0</v>
      </c>
      <c r="EI56" s="143">
        <f t="shared" si="355"/>
        <v>0</v>
      </c>
      <c r="EJ56" s="143">
        <f t="shared" si="355"/>
        <v>0</v>
      </c>
      <c r="EK56" s="143">
        <f t="shared" si="355"/>
        <v>0</v>
      </c>
      <c r="EL56" s="143">
        <f t="shared" si="355"/>
        <v>0</v>
      </c>
    </row>
    <row r="57">
      <c r="A57" s="152" t="s">
        <v>113</v>
      </c>
      <c r="B57" s="132">
        <f t="shared" si="10"/>
        <v>0</v>
      </c>
      <c r="C57" s="144"/>
      <c r="D57" s="134">
        <f t="shared" si="11"/>
        <v>0</v>
      </c>
      <c r="E57" s="135">
        <f t="shared" si="12"/>
        <v>0</v>
      </c>
      <c r="F57" s="132">
        <f t="shared" si="13"/>
        <v>0</v>
      </c>
      <c r="G57" s="136">
        <f t="shared" si="14"/>
        <v>0</v>
      </c>
      <c r="H57" s="137">
        <v>100.0</v>
      </c>
      <c r="I57" s="138" t="str">
        <f t="shared" ref="I57:I62" si="362">$A$8</f>
        <v>Catalyst Base</v>
      </c>
      <c r="J57" s="139">
        <f t="shared" si="15"/>
        <v>0</v>
      </c>
      <c r="K57" s="140">
        <f t="shared" si="16"/>
        <v>149</v>
      </c>
      <c r="L57" s="139">
        <v>500.0</v>
      </c>
      <c r="M57" s="139">
        <v>2500.0</v>
      </c>
      <c r="N57" s="139">
        <v>4.0</v>
      </c>
      <c r="O57" s="141"/>
      <c r="P57" s="141"/>
      <c r="Q57" s="141"/>
      <c r="R57" s="141"/>
      <c r="S57" s="139">
        <v>1.0</v>
      </c>
      <c r="T57" s="139">
        <v>1.0</v>
      </c>
      <c r="U57" s="141"/>
      <c r="V57" s="141"/>
      <c r="W57" s="141"/>
      <c r="X57" s="141"/>
      <c r="Y57" s="141"/>
      <c r="Z57" s="141"/>
      <c r="AA57" s="139"/>
      <c r="AB57" s="141"/>
      <c r="AC57" s="141"/>
      <c r="AD57" s="141"/>
      <c r="AE57" s="141"/>
      <c r="AF57" s="141"/>
      <c r="AG57" s="141"/>
      <c r="AH57" s="141"/>
      <c r="AI57" s="141"/>
      <c r="AJ57" s="139"/>
      <c r="AK57" s="141"/>
      <c r="AL57" s="141"/>
      <c r="AM57" s="139">
        <v>1.0</v>
      </c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2"/>
      <c r="BE57" s="143">
        <f t="shared" si="17"/>
        <v>0</v>
      </c>
      <c r="BF57" s="143">
        <f t="shared" si="18"/>
        <v>0</v>
      </c>
      <c r="BG57" s="143">
        <f t="shared" ref="BG57:BT57" si="356">$G57*N57*IF($H57&gt;50,18,36)+$F57*N57*IF($H57&gt;50,4,8)+$E57*N57</f>
        <v>0</v>
      </c>
      <c r="BH57" s="143">
        <f t="shared" si="356"/>
        <v>0</v>
      </c>
      <c r="BI57" s="143">
        <f t="shared" si="356"/>
        <v>0</v>
      </c>
      <c r="BJ57" s="143">
        <f t="shared" si="356"/>
        <v>0</v>
      </c>
      <c r="BK57" s="143">
        <f t="shared" si="356"/>
        <v>0</v>
      </c>
      <c r="BL57" s="143">
        <f t="shared" si="356"/>
        <v>0</v>
      </c>
      <c r="BM57" s="143">
        <f t="shared" si="356"/>
        <v>0</v>
      </c>
      <c r="BN57" s="143">
        <f t="shared" si="356"/>
        <v>0</v>
      </c>
      <c r="BO57" s="143">
        <f t="shared" si="356"/>
        <v>0</v>
      </c>
      <c r="BP57" s="143">
        <f t="shared" si="356"/>
        <v>0</v>
      </c>
      <c r="BQ57" s="143">
        <f t="shared" si="356"/>
        <v>0</v>
      </c>
      <c r="BR57" s="143">
        <f t="shared" si="356"/>
        <v>0</v>
      </c>
      <c r="BS57" s="143">
        <f t="shared" si="356"/>
        <v>0</v>
      </c>
      <c r="BT57" s="143">
        <f t="shared" si="356"/>
        <v>0</v>
      </c>
      <c r="BU57" s="143">
        <f t="shared" si="20"/>
        <v>0</v>
      </c>
      <c r="BV57" s="143">
        <f t="shared" si="21"/>
        <v>0</v>
      </c>
      <c r="BW57" s="143">
        <f t="shared" ref="BW57:BX57" si="357">$G57*AD57*IF($H57&gt;50,18,36)+$F57*AD57*IF($H57&gt;50,4,8)+$E57*AD57</f>
        <v>0</v>
      </c>
      <c r="BX57" s="143">
        <f t="shared" si="357"/>
        <v>0</v>
      </c>
      <c r="BY57" s="143">
        <f t="shared" si="23"/>
        <v>0</v>
      </c>
      <c r="BZ57" s="143">
        <f t="shared" si="24"/>
        <v>0</v>
      </c>
      <c r="CA57" s="143">
        <f t="shared" si="25"/>
        <v>0</v>
      </c>
      <c r="CB57" s="143">
        <f t="shared" si="26"/>
        <v>0</v>
      </c>
      <c r="CC57" s="143">
        <f t="shared" si="27"/>
        <v>0</v>
      </c>
      <c r="CD57" s="143">
        <f t="shared" si="28"/>
        <v>0</v>
      </c>
      <c r="CE57" s="143">
        <f t="shared" si="29"/>
        <v>0</v>
      </c>
      <c r="CF57" s="143">
        <f t="shared" si="30"/>
        <v>0</v>
      </c>
      <c r="CG57" s="143">
        <f t="shared" si="31"/>
        <v>0</v>
      </c>
      <c r="CH57" s="143">
        <f t="shared" si="32"/>
        <v>0</v>
      </c>
      <c r="CI57" s="143">
        <f t="shared" si="33"/>
        <v>0</v>
      </c>
      <c r="CJ57" s="143">
        <f t="shared" si="34"/>
        <v>0</v>
      </c>
      <c r="CK57" s="143">
        <f t="shared" ref="CK57:CV57" si="358">$G57*AR57*IF($H57&gt;50,18,36)+$F57*AR57*IF($H57&gt;50,4,8)+$E57*AR57</f>
        <v>0</v>
      </c>
      <c r="CL57" s="143">
        <f t="shared" si="358"/>
        <v>0</v>
      </c>
      <c r="CM57" s="143">
        <f t="shared" si="358"/>
        <v>0</v>
      </c>
      <c r="CN57" s="143">
        <f t="shared" si="358"/>
        <v>0</v>
      </c>
      <c r="CO57" s="143">
        <f t="shared" si="358"/>
        <v>0</v>
      </c>
      <c r="CP57" s="143">
        <f t="shared" si="358"/>
        <v>0</v>
      </c>
      <c r="CQ57" s="143">
        <f t="shared" si="358"/>
        <v>0</v>
      </c>
      <c r="CR57" s="143">
        <f t="shared" si="358"/>
        <v>0</v>
      </c>
      <c r="CS57" s="143">
        <f t="shared" si="358"/>
        <v>0</v>
      </c>
      <c r="CT57" s="143">
        <f t="shared" si="358"/>
        <v>0</v>
      </c>
      <c r="CU57" s="143">
        <f t="shared" si="358"/>
        <v>0</v>
      </c>
      <c r="CV57" s="143">
        <f t="shared" si="358"/>
        <v>0</v>
      </c>
      <c r="CW57" s="143"/>
      <c r="CX57" s="143">
        <f t="shared" ref="CX57:DJ57" si="359">O57*BH$2/($H57/50)^2</f>
        <v>0</v>
      </c>
      <c r="CY57" s="143">
        <f t="shared" si="359"/>
        <v>0</v>
      </c>
      <c r="CZ57" s="143">
        <f t="shared" si="359"/>
        <v>0</v>
      </c>
      <c r="DA57" s="143">
        <f t="shared" si="359"/>
        <v>0</v>
      </c>
      <c r="DB57" s="143">
        <f t="shared" si="359"/>
        <v>12.5</v>
      </c>
      <c r="DC57" s="143">
        <f t="shared" si="359"/>
        <v>15</v>
      </c>
      <c r="DD57" s="143">
        <f t="shared" si="359"/>
        <v>0</v>
      </c>
      <c r="DE57" s="143">
        <f t="shared" si="359"/>
        <v>0</v>
      </c>
      <c r="DF57" s="143">
        <f t="shared" si="359"/>
        <v>0</v>
      </c>
      <c r="DG57" s="143">
        <f t="shared" si="359"/>
        <v>0</v>
      </c>
      <c r="DH57" s="143">
        <f t="shared" si="359"/>
        <v>0</v>
      </c>
      <c r="DI57" s="143">
        <f t="shared" si="359"/>
        <v>0</v>
      </c>
      <c r="DJ57" s="143">
        <f t="shared" si="359"/>
        <v>0</v>
      </c>
      <c r="DK57" s="143">
        <f t="shared" si="37"/>
        <v>0</v>
      </c>
      <c r="DL57" s="143">
        <f t="shared" si="38"/>
        <v>0</v>
      </c>
      <c r="DM57" s="143">
        <f t="shared" ref="DM57:DN57" si="360">AD57*BW$2/($H57/50)^2</f>
        <v>0</v>
      </c>
      <c r="DN57" s="143">
        <f t="shared" si="360"/>
        <v>0</v>
      </c>
      <c r="DO57" s="143">
        <f t="shared" si="40"/>
        <v>0</v>
      </c>
      <c r="DP57" s="143">
        <f t="shared" si="41"/>
        <v>0</v>
      </c>
      <c r="DQ57" s="143">
        <f t="shared" si="42"/>
        <v>0</v>
      </c>
      <c r="DR57" s="143">
        <f t="shared" si="43"/>
        <v>0</v>
      </c>
      <c r="DS57" s="143">
        <f t="shared" si="44"/>
        <v>0</v>
      </c>
      <c r="DT57" s="143">
        <f t="shared" si="45"/>
        <v>62.5</v>
      </c>
      <c r="DU57" s="143">
        <f t="shared" si="46"/>
        <v>0</v>
      </c>
      <c r="DV57" s="143">
        <f t="shared" si="47"/>
        <v>0</v>
      </c>
      <c r="DW57" s="143">
        <f t="shared" si="48"/>
        <v>0</v>
      </c>
      <c r="DX57" s="143">
        <f t="shared" si="49"/>
        <v>0</v>
      </c>
      <c r="DY57" s="143">
        <f t="shared" si="50"/>
        <v>0</v>
      </c>
      <c r="DZ57" s="143">
        <f t="shared" si="51"/>
        <v>0</v>
      </c>
      <c r="EA57" s="143">
        <f t="shared" ref="EA57:EL57" si="361">AR57*CK$2/($H57/50)^2</f>
        <v>0</v>
      </c>
      <c r="EB57" s="143">
        <f t="shared" si="361"/>
        <v>0</v>
      </c>
      <c r="EC57" s="143">
        <f t="shared" si="361"/>
        <v>0</v>
      </c>
      <c r="ED57" s="143">
        <f t="shared" si="361"/>
        <v>0</v>
      </c>
      <c r="EE57" s="143">
        <f t="shared" si="361"/>
        <v>0</v>
      </c>
      <c r="EF57" s="143">
        <f t="shared" si="361"/>
        <v>0</v>
      </c>
      <c r="EG57" s="143">
        <f t="shared" si="361"/>
        <v>0</v>
      </c>
      <c r="EH57" s="143">
        <f t="shared" si="361"/>
        <v>0</v>
      </c>
      <c r="EI57" s="143">
        <f t="shared" si="361"/>
        <v>0</v>
      </c>
      <c r="EJ57" s="143">
        <f t="shared" si="361"/>
        <v>0</v>
      </c>
      <c r="EK57" s="143">
        <f t="shared" si="361"/>
        <v>0</v>
      </c>
      <c r="EL57" s="143">
        <f t="shared" si="361"/>
        <v>0</v>
      </c>
    </row>
    <row r="58">
      <c r="A58" s="152" t="s">
        <v>114</v>
      </c>
      <c r="B58" s="132">
        <f t="shared" si="10"/>
        <v>0</v>
      </c>
      <c r="C58" s="144"/>
      <c r="D58" s="134">
        <f t="shared" si="11"/>
        <v>0</v>
      </c>
      <c r="E58" s="135">
        <f t="shared" si="12"/>
        <v>0</v>
      </c>
      <c r="F58" s="132">
        <f t="shared" si="13"/>
        <v>0</v>
      </c>
      <c r="G58" s="136">
        <f t="shared" si="14"/>
        <v>0</v>
      </c>
      <c r="H58" s="137">
        <v>100.0</v>
      </c>
      <c r="I58" s="138" t="str">
        <f t="shared" si="362"/>
        <v>Catalyst Base</v>
      </c>
      <c r="J58" s="139">
        <f t="shared" si="15"/>
        <v>0</v>
      </c>
      <c r="K58" s="140">
        <f t="shared" si="16"/>
        <v>322</v>
      </c>
      <c r="L58" s="139">
        <v>200.0</v>
      </c>
      <c r="M58" s="139">
        <v>1500.0</v>
      </c>
      <c r="N58" s="139">
        <v>4.0</v>
      </c>
      <c r="O58" s="141"/>
      <c r="P58" s="141"/>
      <c r="Q58" s="141"/>
      <c r="R58" s="141"/>
      <c r="S58" s="139">
        <v>1.0</v>
      </c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39">
        <v>1.0</v>
      </c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2"/>
      <c r="BE58" s="143">
        <f t="shared" si="17"/>
        <v>0</v>
      </c>
      <c r="BF58" s="143">
        <f t="shared" si="18"/>
        <v>0</v>
      </c>
      <c r="BG58" s="143">
        <f t="shared" ref="BG58:BT58" si="363">$G58*N58*IF($H58&gt;50,18,36)+$F58*N58*IF($H58&gt;50,4,8)+$E58*N58</f>
        <v>0</v>
      </c>
      <c r="BH58" s="143">
        <f t="shared" si="363"/>
        <v>0</v>
      </c>
      <c r="BI58" s="143">
        <f t="shared" si="363"/>
        <v>0</v>
      </c>
      <c r="BJ58" s="143">
        <f t="shared" si="363"/>
        <v>0</v>
      </c>
      <c r="BK58" s="143">
        <f t="shared" si="363"/>
        <v>0</v>
      </c>
      <c r="BL58" s="143">
        <f t="shared" si="363"/>
        <v>0</v>
      </c>
      <c r="BM58" s="143">
        <f t="shared" si="363"/>
        <v>0</v>
      </c>
      <c r="BN58" s="143">
        <f t="shared" si="363"/>
        <v>0</v>
      </c>
      <c r="BO58" s="143">
        <f t="shared" si="363"/>
        <v>0</v>
      </c>
      <c r="BP58" s="143">
        <f t="shared" si="363"/>
        <v>0</v>
      </c>
      <c r="BQ58" s="143">
        <f t="shared" si="363"/>
        <v>0</v>
      </c>
      <c r="BR58" s="143">
        <f t="shared" si="363"/>
        <v>0</v>
      </c>
      <c r="BS58" s="143">
        <f t="shared" si="363"/>
        <v>0</v>
      </c>
      <c r="BT58" s="143">
        <f t="shared" si="363"/>
        <v>0</v>
      </c>
      <c r="BU58" s="143">
        <f t="shared" si="20"/>
        <v>0</v>
      </c>
      <c r="BV58" s="143">
        <f t="shared" si="21"/>
        <v>0</v>
      </c>
      <c r="BW58" s="143">
        <f t="shared" ref="BW58:BX58" si="364">$G58*AD58*IF($H58&gt;50,18,36)+$F58*AD58*IF($H58&gt;50,4,8)+$E58*AD58</f>
        <v>0</v>
      </c>
      <c r="BX58" s="143">
        <f t="shared" si="364"/>
        <v>0</v>
      </c>
      <c r="BY58" s="143">
        <f t="shared" si="23"/>
        <v>0</v>
      </c>
      <c r="BZ58" s="143">
        <f t="shared" si="24"/>
        <v>0</v>
      </c>
      <c r="CA58" s="143">
        <f t="shared" si="25"/>
        <v>0</v>
      </c>
      <c r="CB58" s="143">
        <f t="shared" si="26"/>
        <v>0</v>
      </c>
      <c r="CC58" s="143">
        <f t="shared" si="27"/>
        <v>0</v>
      </c>
      <c r="CD58" s="143">
        <f t="shared" si="28"/>
        <v>0</v>
      </c>
      <c r="CE58" s="143">
        <f t="shared" si="29"/>
        <v>0</v>
      </c>
      <c r="CF58" s="143">
        <f t="shared" si="30"/>
        <v>0</v>
      </c>
      <c r="CG58" s="143">
        <f t="shared" si="31"/>
        <v>0</v>
      </c>
      <c r="CH58" s="143">
        <f t="shared" si="32"/>
        <v>0</v>
      </c>
      <c r="CI58" s="143">
        <f t="shared" si="33"/>
        <v>0</v>
      </c>
      <c r="CJ58" s="143">
        <f t="shared" si="34"/>
        <v>0</v>
      </c>
      <c r="CK58" s="143">
        <f t="shared" ref="CK58:CV58" si="365">$G58*AR58*IF($H58&gt;50,18,36)+$F58*AR58*IF($H58&gt;50,4,8)+$E58*AR58</f>
        <v>0</v>
      </c>
      <c r="CL58" s="143">
        <f t="shared" si="365"/>
        <v>0</v>
      </c>
      <c r="CM58" s="143">
        <f t="shared" si="365"/>
        <v>0</v>
      </c>
      <c r="CN58" s="143">
        <f t="shared" si="365"/>
        <v>0</v>
      </c>
      <c r="CO58" s="143">
        <f t="shared" si="365"/>
        <v>0</v>
      </c>
      <c r="CP58" s="143">
        <f t="shared" si="365"/>
        <v>0</v>
      </c>
      <c r="CQ58" s="143">
        <f t="shared" si="365"/>
        <v>0</v>
      </c>
      <c r="CR58" s="143">
        <f t="shared" si="365"/>
        <v>0</v>
      </c>
      <c r="CS58" s="143">
        <f t="shared" si="365"/>
        <v>0</v>
      </c>
      <c r="CT58" s="143">
        <f t="shared" si="365"/>
        <v>0</v>
      </c>
      <c r="CU58" s="143">
        <f t="shared" si="365"/>
        <v>0</v>
      </c>
      <c r="CV58" s="143">
        <f t="shared" si="365"/>
        <v>0</v>
      </c>
      <c r="CW58" s="143"/>
      <c r="CX58" s="143">
        <f t="shared" ref="CX58:DJ58" si="366">O58*BH$2/($H58/50)^2</f>
        <v>0</v>
      </c>
      <c r="CY58" s="143">
        <f t="shared" si="366"/>
        <v>0</v>
      </c>
      <c r="CZ58" s="143">
        <f t="shared" si="366"/>
        <v>0</v>
      </c>
      <c r="DA58" s="143">
        <f t="shared" si="366"/>
        <v>0</v>
      </c>
      <c r="DB58" s="143">
        <f t="shared" si="366"/>
        <v>12.5</v>
      </c>
      <c r="DC58" s="143">
        <f t="shared" si="366"/>
        <v>0</v>
      </c>
      <c r="DD58" s="143">
        <f t="shared" si="366"/>
        <v>0</v>
      </c>
      <c r="DE58" s="143">
        <f t="shared" si="366"/>
        <v>0</v>
      </c>
      <c r="DF58" s="143">
        <f t="shared" si="366"/>
        <v>0</v>
      </c>
      <c r="DG58" s="143">
        <f t="shared" si="366"/>
        <v>0</v>
      </c>
      <c r="DH58" s="143">
        <f t="shared" si="366"/>
        <v>0</v>
      </c>
      <c r="DI58" s="143">
        <f t="shared" si="366"/>
        <v>0</v>
      </c>
      <c r="DJ58" s="143">
        <f t="shared" si="366"/>
        <v>0</v>
      </c>
      <c r="DK58" s="143">
        <f t="shared" si="37"/>
        <v>0</v>
      </c>
      <c r="DL58" s="143">
        <f t="shared" si="38"/>
        <v>0</v>
      </c>
      <c r="DM58" s="143">
        <f t="shared" ref="DM58:DN58" si="367">AD58*BW$2/($H58/50)^2</f>
        <v>0</v>
      </c>
      <c r="DN58" s="143">
        <f t="shared" si="367"/>
        <v>0</v>
      </c>
      <c r="DO58" s="143">
        <f t="shared" si="40"/>
        <v>0</v>
      </c>
      <c r="DP58" s="143">
        <f t="shared" si="41"/>
        <v>0</v>
      </c>
      <c r="DQ58" s="143">
        <f t="shared" si="42"/>
        <v>0</v>
      </c>
      <c r="DR58" s="143">
        <f t="shared" si="43"/>
        <v>0</v>
      </c>
      <c r="DS58" s="143">
        <f t="shared" si="44"/>
        <v>0</v>
      </c>
      <c r="DT58" s="143">
        <f t="shared" si="45"/>
        <v>0</v>
      </c>
      <c r="DU58" s="143">
        <f t="shared" si="46"/>
        <v>250</v>
      </c>
      <c r="DV58" s="143">
        <f t="shared" si="47"/>
        <v>0</v>
      </c>
      <c r="DW58" s="143">
        <f t="shared" si="48"/>
        <v>0</v>
      </c>
      <c r="DX58" s="143">
        <f t="shared" si="49"/>
        <v>0</v>
      </c>
      <c r="DY58" s="143">
        <f t="shared" si="50"/>
        <v>0</v>
      </c>
      <c r="DZ58" s="143">
        <f t="shared" si="51"/>
        <v>0</v>
      </c>
      <c r="EA58" s="143">
        <f t="shared" ref="EA58:EL58" si="368">AR58*CK$2/($H58/50)^2</f>
        <v>0</v>
      </c>
      <c r="EB58" s="143">
        <f t="shared" si="368"/>
        <v>0</v>
      </c>
      <c r="EC58" s="143">
        <f t="shared" si="368"/>
        <v>0</v>
      </c>
      <c r="ED58" s="143">
        <f t="shared" si="368"/>
        <v>0</v>
      </c>
      <c r="EE58" s="143">
        <f t="shared" si="368"/>
        <v>0</v>
      </c>
      <c r="EF58" s="143">
        <f t="shared" si="368"/>
        <v>0</v>
      </c>
      <c r="EG58" s="143">
        <f t="shared" si="368"/>
        <v>0</v>
      </c>
      <c r="EH58" s="143">
        <f t="shared" si="368"/>
        <v>0</v>
      </c>
      <c r="EI58" s="143">
        <f t="shared" si="368"/>
        <v>0</v>
      </c>
      <c r="EJ58" s="143">
        <f t="shared" si="368"/>
        <v>0</v>
      </c>
      <c r="EK58" s="143">
        <f t="shared" si="368"/>
        <v>0</v>
      </c>
      <c r="EL58" s="143">
        <f t="shared" si="368"/>
        <v>0</v>
      </c>
    </row>
    <row r="59">
      <c r="A59" s="152" t="s">
        <v>115</v>
      </c>
      <c r="B59" s="132">
        <f t="shared" si="10"/>
        <v>0</v>
      </c>
      <c r="C59" s="147">
        <v>7.0</v>
      </c>
      <c r="D59" s="134">
        <f t="shared" si="11"/>
        <v>7</v>
      </c>
      <c r="E59" s="135">
        <f t="shared" si="12"/>
        <v>7</v>
      </c>
      <c r="F59" s="132">
        <f t="shared" si="13"/>
        <v>0</v>
      </c>
      <c r="G59" s="136">
        <f t="shared" si="14"/>
        <v>0</v>
      </c>
      <c r="H59" s="137">
        <v>100.0</v>
      </c>
      <c r="I59" s="138" t="str">
        <f t="shared" si="362"/>
        <v>Catalyst Base</v>
      </c>
      <c r="J59" s="139">
        <f t="shared" si="15"/>
        <v>2359</v>
      </c>
      <c r="K59" s="140">
        <f t="shared" si="16"/>
        <v>337</v>
      </c>
      <c r="L59" s="139">
        <v>500.0</v>
      </c>
      <c r="M59" s="139">
        <v>3000.0</v>
      </c>
      <c r="N59" s="139">
        <v>4.0</v>
      </c>
      <c r="O59" s="141"/>
      <c r="P59" s="141"/>
      <c r="Q59" s="141"/>
      <c r="R59" s="141"/>
      <c r="S59" s="139">
        <v>1.0</v>
      </c>
      <c r="T59" s="139">
        <v>1.0</v>
      </c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39">
        <v>1.0</v>
      </c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2"/>
      <c r="BE59" s="143">
        <f t="shared" si="17"/>
        <v>3500</v>
      </c>
      <c r="BF59" s="143">
        <f t="shared" si="18"/>
        <v>3000</v>
      </c>
      <c r="BG59" s="143">
        <f t="shared" ref="BG59:BT59" si="369">$G59*N59*IF($H59&gt;50,18,36)+$F59*N59*IF($H59&gt;50,4,8)+$E59*N59</f>
        <v>28</v>
      </c>
      <c r="BH59" s="143">
        <f t="shared" si="369"/>
        <v>0</v>
      </c>
      <c r="BI59" s="143">
        <f t="shared" si="369"/>
        <v>0</v>
      </c>
      <c r="BJ59" s="143">
        <f t="shared" si="369"/>
        <v>0</v>
      </c>
      <c r="BK59" s="143">
        <f t="shared" si="369"/>
        <v>0</v>
      </c>
      <c r="BL59" s="143">
        <f t="shared" si="369"/>
        <v>7</v>
      </c>
      <c r="BM59" s="143">
        <f t="shared" si="369"/>
        <v>7</v>
      </c>
      <c r="BN59" s="143">
        <f t="shared" si="369"/>
        <v>0</v>
      </c>
      <c r="BO59" s="143">
        <f t="shared" si="369"/>
        <v>0</v>
      </c>
      <c r="BP59" s="143">
        <f t="shared" si="369"/>
        <v>0</v>
      </c>
      <c r="BQ59" s="143">
        <f t="shared" si="369"/>
        <v>0</v>
      </c>
      <c r="BR59" s="143">
        <f t="shared" si="369"/>
        <v>0</v>
      </c>
      <c r="BS59" s="143">
        <f t="shared" si="369"/>
        <v>0</v>
      </c>
      <c r="BT59" s="143">
        <f t="shared" si="369"/>
        <v>0</v>
      </c>
      <c r="BU59" s="143">
        <f t="shared" si="20"/>
        <v>0</v>
      </c>
      <c r="BV59" s="143">
        <f t="shared" si="21"/>
        <v>0</v>
      </c>
      <c r="BW59" s="143">
        <f t="shared" ref="BW59:BX59" si="370">$G59*AD59*IF($H59&gt;50,18,36)+$F59*AD59*IF($H59&gt;50,4,8)+$E59*AD59</f>
        <v>0</v>
      </c>
      <c r="BX59" s="143">
        <f t="shared" si="370"/>
        <v>0</v>
      </c>
      <c r="BY59" s="143">
        <f t="shared" si="23"/>
        <v>0</v>
      </c>
      <c r="BZ59" s="143">
        <f t="shared" si="24"/>
        <v>0</v>
      </c>
      <c r="CA59" s="143">
        <f t="shared" si="25"/>
        <v>0</v>
      </c>
      <c r="CB59" s="143">
        <f t="shared" si="26"/>
        <v>0</v>
      </c>
      <c r="CC59" s="143">
        <f t="shared" si="27"/>
        <v>0</v>
      </c>
      <c r="CD59" s="143">
        <f t="shared" si="28"/>
        <v>0</v>
      </c>
      <c r="CE59" s="143">
        <f t="shared" si="29"/>
        <v>7</v>
      </c>
      <c r="CF59" s="143">
        <f t="shared" si="30"/>
        <v>0</v>
      </c>
      <c r="CG59" s="143">
        <f t="shared" si="31"/>
        <v>0</v>
      </c>
      <c r="CH59" s="143">
        <f t="shared" si="32"/>
        <v>0</v>
      </c>
      <c r="CI59" s="143">
        <f t="shared" si="33"/>
        <v>0</v>
      </c>
      <c r="CJ59" s="143">
        <f t="shared" si="34"/>
        <v>0</v>
      </c>
      <c r="CK59" s="143">
        <f t="shared" ref="CK59:CV59" si="371">$G59*AR59*IF($H59&gt;50,18,36)+$F59*AR59*IF($H59&gt;50,4,8)+$E59*AR59</f>
        <v>0</v>
      </c>
      <c r="CL59" s="143">
        <f t="shared" si="371"/>
        <v>0</v>
      </c>
      <c r="CM59" s="143">
        <f t="shared" si="371"/>
        <v>0</v>
      </c>
      <c r="CN59" s="143">
        <f t="shared" si="371"/>
        <v>0</v>
      </c>
      <c r="CO59" s="143">
        <f t="shared" si="371"/>
        <v>0</v>
      </c>
      <c r="CP59" s="143">
        <f t="shared" si="371"/>
        <v>0</v>
      </c>
      <c r="CQ59" s="143">
        <f t="shared" si="371"/>
        <v>0</v>
      </c>
      <c r="CR59" s="143">
        <f t="shared" si="371"/>
        <v>0</v>
      </c>
      <c r="CS59" s="143">
        <f t="shared" si="371"/>
        <v>0</v>
      </c>
      <c r="CT59" s="143">
        <f t="shared" si="371"/>
        <v>0</v>
      </c>
      <c r="CU59" s="143">
        <f t="shared" si="371"/>
        <v>0</v>
      </c>
      <c r="CV59" s="143">
        <f t="shared" si="371"/>
        <v>0</v>
      </c>
      <c r="CW59" s="143"/>
      <c r="CX59" s="143">
        <f t="shared" ref="CX59:DJ59" si="372">O59*BH$2/($H59/50)^2</f>
        <v>0</v>
      </c>
      <c r="CY59" s="143">
        <f t="shared" si="372"/>
        <v>0</v>
      </c>
      <c r="CZ59" s="143">
        <f t="shared" si="372"/>
        <v>0</v>
      </c>
      <c r="DA59" s="143">
        <f t="shared" si="372"/>
        <v>0</v>
      </c>
      <c r="DB59" s="143">
        <f t="shared" si="372"/>
        <v>12.5</v>
      </c>
      <c r="DC59" s="143">
        <f t="shared" si="372"/>
        <v>15</v>
      </c>
      <c r="DD59" s="143">
        <f t="shared" si="372"/>
        <v>0</v>
      </c>
      <c r="DE59" s="143">
        <f t="shared" si="372"/>
        <v>0</v>
      </c>
      <c r="DF59" s="143">
        <f t="shared" si="372"/>
        <v>0</v>
      </c>
      <c r="DG59" s="143">
        <f t="shared" si="372"/>
        <v>0</v>
      </c>
      <c r="DH59" s="143">
        <f t="shared" si="372"/>
        <v>0</v>
      </c>
      <c r="DI59" s="143">
        <f t="shared" si="372"/>
        <v>0</v>
      </c>
      <c r="DJ59" s="143">
        <f t="shared" si="372"/>
        <v>0</v>
      </c>
      <c r="DK59" s="143">
        <f t="shared" si="37"/>
        <v>0</v>
      </c>
      <c r="DL59" s="143">
        <f t="shared" si="38"/>
        <v>0</v>
      </c>
      <c r="DM59" s="143">
        <f t="shared" ref="DM59:DN59" si="373">AD59*BW$2/($H59/50)^2</f>
        <v>0</v>
      </c>
      <c r="DN59" s="143">
        <f t="shared" si="373"/>
        <v>0</v>
      </c>
      <c r="DO59" s="143">
        <f t="shared" si="40"/>
        <v>0</v>
      </c>
      <c r="DP59" s="143">
        <f t="shared" si="41"/>
        <v>0</v>
      </c>
      <c r="DQ59" s="143">
        <f t="shared" si="42"/>
        <v>0</v>
      </c>
      <c r="DR59" s="143">
        <f t="shared" si="43"/>
        <v>0</v>
      </c>
      <c r="DS59" s="143">
        <f t="shared" si="44"/>
        <v>0</v>
      </c>
      <c r="DT59" s="143">
        <f t="shared" si="45"/>
        <v>0</v>
      </c>
      <c r="DU59" s="143">
        <f t="shared" si="46"/>
        <v>250</v>
      </c>
      <c r="DV59" s="143">
        <f t="shared" si="47"/>
        <v>0</v>
      </c>
      <c r="DW59" s="143">
        <f t="shared" si="48"/>
        <v>0</v>
      </c>
      <c r="DX59" s="143">
        <f t="shared" si="49"/>
        <v>0</v>
      </c>
      <c r="DY59" s="143">
        <f t="shared" si="50"/>
        <v>0</v>
      </c>
      <c r="DZ59" s="143">
        <f t="shared" si="51"/>
        <v>0</v>
      </c>
      <c r="EA59" s="143">
        <f t="shared" ref="EA59:EL59" si="374">AR59*CK$2/($H59/50)^2</f>
        <v>0</v>
      </c>
      <c r="EB59" s="143">
        <f t="shared" si="374"/>
        <v>0</v>
      </c>
      <c r="EC59" s="143">
        <f t="shared" si="374"/>
        <v>0</v>
      </c>
      <c r="ED59" s="143">
        <f t="shared" si="374"/>
        <v>0</v>
      </c>
      <c r="EE59" s="143">
        <f t="shared" si="374"/>
        <v>0</v>
      </c>
      <c r="EF59" s="143">
        <f t="shared" si="374"/>
        <v>0</v>
      </c>
      <c r="EG59" s="143">
        <f t="shared" si="374"/>
        <v>0</v>
      </c>
      <c r="EH59" s="143">
        <f t="shared" si="374"/>
        <v>0</v>
      </c>
      <c r="EI59" s="143">
        <f t="shared" si="374"/>
        <v>0</v>
      </c>
      <c r="EJ59" s="143">
        <f t="shared" si="374"/>
        <v>0</v>
      </c>
      <c r="EK59" s="143">
        <f t="shared" si="374"/>
        <v>0</v>
      </c>
      <c r="EL59" s="143">
        <f t="shared" si="374"/>
        <v>0</v>
      </c>
    </row>
    <row r="60">
      <c r="A60" s="152" t="s">
        <v>116</v>
      </c>
      <c r="B60" s="132">
        <f t="shared" si="10"/>
        <v>0</v>
      </c>
      <c r="C60" s="148"/>
      <c r="D60" s="134">
        <f t="shared" si="11"/>
        <v>0</v>
      </c>
      <c r="E60" s="135">
        <f t="shared" si="12"/>
        <v>0</v>
      </c>
      <c r="F60" s="132">
        <f t="shared" si="13"/>
        <v>0</v>
      </c>
      <c r="G60" s="136">
        <f t="shared" si="14"/>
        <v>0</v>
      </c>
      <c r="H60" s="137">
        <v>100.0</v>
      </c>
      <c r="I60" s="138" t="str">
        <f t="shared" si="362"/>
        <v>Catalyst Base</v>
      </c>
      <c r="J60" s="139">
        <f t="shared" si="15"/>
        <v>0</v>
      </c>
      <c r="K60" s="140">
        <f t="shared" si="16"/>
        <v>109</v>
      </c>
      <c r="L60" s="139">
        <v>500.0</v>
      </c>
      <c r="M60" s="139">
        <v>2500.0</v>
      </c>
      <c r="N60" s="139">
        <v>3.0</v>
      </c>
      <c r="O60" s="141"/>
      <c r="P60" s="141"/>
      <c r="Q60" s="141"/>
      <c r="R60" s="141"/>
      <c r="S60" s="139">
        <v>1.0</v>
      </c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39">
        <v>1.0</v>
      </c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2"/>
      <c r="BE60" s="143">
        <f t="shared" si="17"/>
        <v>0</v>
      </c>
      <c r="BF60" s="143">
        <f t="shared" si="18"/>
        <v>0</v>
      </c>
      <c r="BG60" s="143">
        <f t="shared" ref="BG60:BT60" si="375">$G60*N60*IF($H60&gt;50,18,36)+$F60*N60*IF($H60&gt;50,4,8)+$E60*N60</f>
        <v>0</v>
      </c>
      <c r="BH60" s="143">
        <f t="shared" si="375"/>
        <v>0</v>
      </c>
      <c r="BI60" s="143">
        <f t="shared" si="375"/>
        <v>0</v>
      </c>
      <c r="BJ60" s="143">
        <f t="shared" si="375"/>
        <v>0</v>
      </c>
      <c r="BK60" s="143">
        <f t="shared" si="375"/>
        <v>0</v>
      </c>
      <c r="BL60" s="143">
        <f t="shared" si="375"/>
        <v>0</v>
      </c>
      <c r="BM60" s="143">
        <f t="shared" si="375"/>
        <v>0</v>
      </c>
      <c r="BN60" s="143">
        <f t="shared" si="375"/>
        <v>0</v>
      </c>
      <c r="BO60" s="143">
        <f t="shared" si="375"/>
        <v>0</v>
      </c>
      <c r="BP60" s="143">
        <f t="shared" si="375"/>
        <v>0</v>
      </c>
      <c r="BQ60" s="143">
        <f t="shared" si="375"/>
        <v>0</v>
      </c>
      <c r="BR60" s="143">
        <f t="shared" si="375"/>
        <v>0</v>
      </c>
      <c r="BS60" s="143">
        <f t="shared" si="375"/>
        <v>0</v>
      </c>
      <c r="BT60" s="143">
        <f t="shared" si="375"/>
        <v>0</v>
      </c>
      <c r="BU60" s="143">
        <f t="shared" si="20"/>
        <v>0</v>
      </c>
      <c r="BV60" s="143">
        <f t="shared" si="21"/>
        <v>0</v>
      </c>
      <c r="BW60" s="143">
        <f t="shared" ref="BW60:BX60" si="376">$G60*AD60*IF($H60&gt;50,18,36)+$F60*AD60*IF($H60&gt;50,4,8)+$E60*AD60</f>
        <v>0</v>
      </c>
      <c r="BX60" s="143">
        <f t="shared" si="376"/>
        <v>0</v>
      </c>
      <c r="BY60" s="143">
        <f t="shared" si="23"/>
        <v>0</v>
      </c>
      <c r="BZ60" s="143">
        <f t="shared" si="24"/>
        <v>0</v>
      </c>
      <c r="CA60" s="143">
        <f t="shared" si="25"/>
        <v>0</v>
      </c>
      <c r="CB60" s="143">
        <f t="shared" si="26"/>
        <v>0</v>
      </c>
      <c r="CC60" s="143">
        <f t="shared" si="27"/>
        <v>0</v>
      </c>
      <c r="CD60" s="143">
        <f t="shared" si="28"/>
        <v>0</v>
      </c>
      <c r="CE60" s="143">
        <f t="shared" si="29"/>
        <v>0</v>
      </c>
      <c r="CF60" s="143">
        <f t="shared" si="30"/>
        <v>0</v>
      </c>
      <c r="CG60" s="143">
        <f t="shared" si="31"/>
        <v>0</v>
      </c>
      <c r="CH60" s="143">
        <f t="shared" si="32"/>
        <v>0</v>
      </c>
      <c r="CI60" s="143">
        <f t="shared" si="33"/>
        <v>0</v>
      </c>
      <c r="CJ60" s="143">
        <f t="shared" si="34"/>
        <v>0</v>
      </c>
      <c r="CK60" s="143">
        <f t="shared" ref="CK60:CV60" si="377">$G60*AR60*IF($H60&gt;50,18,36)+$F60*AR60*IF($H60&gt;50,4,8)+$E60*AR60</f>
        <v>0</v>
      </c>
      <c r="CL60" s="143">
        <f t="shared" si="377"/>
        <v>0</v>
      </c>
      <c r="CM60" s="143">
        <f t="shared" si="377"/>
        <v>0</v>
      </c>
      <c r="CN60" s="143">
        <f t="shared" si="377"/>
        <v>0</v>
      </c>
      <c r="CO60" s="143">
        <f t="shared" si="377"/>
        <v>0</v>
      </c>
      <c r="CP60" s="143">
        <f t="shared" si="377"/>
        <v>0</v>
      </c>
      <c r="CQ60" s="143">
        <f t="shared" si="377"/>
        <v>0</v>
      </c>
      <c r="CR60" s="143">
        <f t="shared" si="377"/>
        <v>0</v>
      </c>
      <c r="CS60" s="143">
        <f t="shared" si="377"/>
        <v>0</v>
      </c>
      <c r="CT60" s="143">
        <f t="shared" si="377"/>
        <v>0</v>
      </c>
      <c r="CU60" s="143">
        <f t="shared" si="377"/>
        <v>0</v>
      </c>
      <c r="CV60" s="143">
        <f t="shared" si="377"/>
        <v>0</v>
      </c>
      <c r="CW60" s="143"/>
      <c r="CX60" s="143">
        <f t="shared" ref="CX60:DJ60" si="378">O60*BH$2/($H60/50)^2</f>
        <v>0</v>
      </c>
      <c r="CY60" s="143">
        <f t="shared" si="378"/>
        <v>0</v>
      </c>
      <c r="CZ60" s="143">
        <f t="shared" si="378"/>
        <v>0</v>
      </c>
      <c r="DA60" s="143">
        <f t="shared" si="378"/>
        <v>0</v>
      </c>
      <c r="DB60" s="143">
        <f t="shared" si="378"/>
        <v>12.5</v>
      </c>
      <c r="DC60" s="143">
        <f t="shared" si="378"/>
        <v>0</v>
      </c>
      <c r="DD60" s="143">
        <f t="shared" si="378"/>
        <v>0</v>
      </c>
      <c r="DE60" s="143">
        <f t="shared" si="378"/>
        <v>0</v>
      </c>
      <c r="DF60" s="143">
        <f t="shared" si="378"/>
        <v>0</v>
      </c>
      <c r="DG60" s="143">
        <f t="shared" si="378"/>
        <v>0</v>
      </c>
      <c r="DH60" s="143">
        <f t="shared" si="378"/>
        <v>0</v>
      </c>
      <c r="DI60" s="143">
        <f t="shared" si="378"/>
        <v>0</v>
      </c>
      <c r="DJ60" s="143">
        <f t="shared" si="378"/>
        <v>0</v>
      </c>
      <c r="DK60" s="143">
        <f t="shared" si="37"/>
        <v>0</v>
      </c>
      <c r="DL60" s="143">
        <f t="shared" si="38"/>
        <v>0</v>
      </c>
      <c r="DM60" s="143">
        <f t="shared" ref="DM60:DN60" si="379">AD60*BW$2/($H60/50)^2</f>
        <v>0</v>
      </c>
      <c r="DN60" s="143">
        <f t="shared" si="379"/>
        <v>0</v>
      </c>
      <c r="DO60" s="143">
        <f t="shared" si="40"/>
        <v>0</v>
      </c>
      <c r="DP60" s="143">
        <f t="shared" si="41"/>
        <v>0</v>
      </c>
      <c r="DQ60" s="143">
        <f t="shared" si="42"/>
        <v>0</v>
      </c>
      <c r="DR60" s="143">
        <f t="shared" si="43"/>
        <v>0</v>
      </c>
      <c r="DS60" s="143">
        <f t="shared" si="44"/>
        <v>0</v>
      </c>
      <c r="DT60" s="143">
        <f t="shared" si="45"/>
        <v>0</v>
      </c>
      <c r="DU60" s="143">
        <f t="shared" si="46"/>
        <v>0</v>
      </c>
      <c r="DV60" s="143">
        <f t="shared" si="47"/>
        <v>37.5</v>
      </c>
      <c r="DW60" s="143">
        <f t="shared" si="48"/>
        <v>0</v>
      </c>
      <c r="DX60" s="143">
        <f t="shared" si="49"/>
        <v>0</v>
      </c>
      <c r="DY60" s="143">
        <f t="shared" si="50"/>
        <v>0</v>
      </c>
      <c r="DZ60" s="143">
        <f t="shared" si="51"/>
        <v>0</v>
      </c>
      <c r="EA60" s="143">
        <f t="shared" ref="EA60:EL60" si="380">AR60*CK$2/($H60/50)^2</f>
        <v>0</v>
      </c>
      <c r="EB60" s="143">
        <f t="shared" si="380"/>
        <v>0</v>
      </c>
      <c r="EC60" s="143">
        <f t="shared" si="380"/>
        <v>0</v>
      </c>
      <c r="ED60" s="143">
        <f t="shared" si="380"/>
        <v>0</v>
      </c>
      <c r="EE60" s="143">
        <f t="shared" si="380"/>
        <v>0</v>
      </c>
      <c r="EF60" s="143">
        <f t="shared" si="380"/>
        <v>0</v>
      </c>
      <c r="EG60" s="143">
        <f t="shared" si="380"/>
        <v>0</v>
      </c>
      <c r="EH60" s="143">
        <f t="shared" si="380"/>
        <v>0</v>
      </c>
      <c r="EI60" s="143">
        <f t="shared" si="380"/>
        <v>0</v>
      </c>
      <c r="EJ60" s="143">
        <f t="shared" si="380"/>
        <v>0</v>
      </c>
      <c r="EK60" s="143">
        <f t="shared" si="380"/>
        <v>0</v>
      </c>
      <c r="EL60" s="143">
        <f t="shared" si="380"/>
        <v>0</v>
      </c>
    </row>
    <row r="61">
      <c r="A61" s="152" t="s">
        <v>117</v>
      </c>
      <c r="B61" s="132">
        <f t="shared" si="10"/>
        <v>0</v>
      </c>
      <c r="C61" s="148"/>
      <c r="D61" s="134">
        <f t="shared" si="11"/>
        <v>0</v>
      </c>
      <c r="E61" s="135">
        <f t="shared" si="12"/>
        <v>0</v>
      </c>
      <c r="F61" s="132">
        <f t="shared" si="13"/>
        <v>0</v>
      </c>
      <c r="G61" s="136">
        <f t="shared" si="14"/>
        <v>0</v>
      </c>
      <c r="H61" s="137">
        <v>100.0</v>
      </c>
      <c r="I61" s="138" t="str">
        <f t="shared" si="362"/>
        <v>Catalyst Base</v>
      </c>
      <c r="J61" s="139">
        <f t="shared" si="15"/>
        <v>0</v>
      </c>
      <c r="K61" s="140">
        <f t="shared" si="16"/>
        <v>109</v>
      </c>
      <c r="L61" s="139">
        <v>200.0</v>
      </c>
      <c r="M61" s="139">
        <v>1500.0</v>
      </c>
      <c r="N61" s="139">
        <v>2.0</v>
      </c>
      <c r="O61" s="141"/>
      <c r="P61" s="141"/>
      <c r="Q61" s="141"/>
      <c r="R61" s="141"/>
      <c r="S61" s="139">
        <v>1.0</v>
      </c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39">
        <v>1.0</v>
      </c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2"/>
      <c r="BE61" s="143">
        <f t="shared" si="17"/>
        <v>0</v>
      </c>
      <c r="BF61" s="143">
        <f t="shared" si="18"/>
        <v>0</v>
      </c>
      <c r="BG61" s="143">
        <f t="shared" ref="BG61:BT61" si="381">$G61*N61*IF($H61&gt;50,18,36)+$F61*N61*IF($H61&gt;50,4,8)+$E61*N61</f>
        <v>0</v>
      </c>
      <c r="BH61" s="143">
        <f t="shared" si="381"/>
        <v>0</v>
      </c>
      <c r="BI61" s="143">
        <f t="shared" si="381"/>
        <v>0</v>
      </c>
      <c r="BJ61" s="143">
        <f t="shared" si="381"/>
        <v>0</v>
      </c>
      <c r="BK61" s="143">
        <f t="shared" si="381"/>
        <v>0</v>
      </c>
      <c r="BL61" s="143">
        <f t="shared" si="381"/>
        <v>0</v>
      </c>
      <c r="BM61" s="143">
        <f t="shared" si="381"/>
        <v>0</v>
      </c>
      <c r="BN61" s="143">
        <f t="shared" si="381"/>
        <v>0</v>
      </c>
      <c r="BO61" s="143">
        <f t="shared" si="381"/>
        <v>0</v>
      </c>
      <c r="BP61" s="143">
        <f t="shared" si="381"/>
        <v>0</v>
      </c>
      <c r="BQ61" s="143">
        <f t="shared" si="381"/>
        <v>0</v>
      </c>
      <c r="BR61" s="143">
        <f t="shared" si="381"/>
        <v>0</v>
      </c>
      <c r="BS61" s="143">
        <f t="shared" si="381"/>
        <v>0</v>
      </c>
      <c r="BT61" s="143">
        <f t="shared" si="381"/>
        <v>0</v>
      </c>
      <c r="BU61" s="143">
        <f t="shared" si="20"/>
        <v>0</v>
      </c>
      <c r="BV61" s="143">
        <f t="shared" si="21"/>
        <v>0</v>
      </c>
      <c r="BW61" s="143">
        <f t="shared" ref="BW61:BX61" si="382">$G61*AD61*IF($H61&gt;50,18,36)+$F61*AD61*IF($H61&gt;50,4,8)+$E61*AD61</f>
        <v>0</v>
      </c>
      <c r="BX61" s="143">
        <f t="shared" si="382"/>
        <v>0</v>
      </c>
      <c r="BY61" s="143">
        <f t="shared" si="23"/>
        <v>0</v>
      </c>
      <c r="BZ61" s="143">
        <f t="shared" si="24"/>
        <v>0</v>
      </c>
      <c r="CA61" s="143">
        <f t="shared" si="25"/>
        <v>0</v>
      </c>
      <c r="CB61" s="143">
        <f t="shared" si="26"/>
        <v>0</v>
      </c>
      <c r="CC61" s="143">
        <f t="shared" si="27"/>
        <v>0</v>
      </c>
      <c r="CD61" s="143">
        <f t="shared" si="28"/>
        <v>0</v>
      </c>
      <c r="CE61" s="143">
        <f t="shared" si="29"/>
        <v>0</v>
      </c>
      <c r="CF61" s="143">
        <f t="shared" si="30"/>
        <v>0</v>
      </c>
      <c r="CG61" s="143">
        <f t="shared" si="31"/>
        <v>0</v>
      </c>
      <c r="CH61" s="143">
        <f t="shared" si="32"/>
        <v>0</v>
      </c>
      <c r="CI61" s="143">
        <f t="shared" si="33"/>
        <v>0</v>
      </c>
      <c r="CJ61" s="143">
        <f t="shared" si="34"/>
        <v>0</v>
      </c>
      <c r="CK61" s="143">
        <f t="shared" ref="CK61:CV61" si="383">$G61*AR61*IF($H61&gt;50,18,36)+$F61*AR61*IF($H61&gt;50,4,8)+$E61*AR61</f>
        <v>0</v>
      </c>
      <c r="CL61" s="143">
        <f t="shared" si="383"/>
        <v>0</v>
      </c>
      <c r="CM61" s="143">
        <f t="shared" si="383"/>
        <v>0</v>
      </c>
      <c r="CN61" s="143">
        <f t="shared" si="383"/>
        <v>0</v>
      </c>
      <c r="CO61" s="143">
        <f t="shared" si="383"/>
        <v>0</v>
      </c>
      <c r="CP61" s="143">
        <f t="shared" si="383"/>
        <v>0</v>
      </c>
      <c r="CQ61" s="143">
        <f t="shared" si="383"/>
        <v>0</v>
      </c>
      <c r="CR61" s="143">
        <f t="shared" si="383"/>
        <v>0</v>
      </c>
      <c r="CS61" s="143">
        <f t="shared" si="383"/>
        <v>0</v>
      </c>
      <c r="CT61" s="143">
        <f t="shared" si="383"/>
        <v>0</v>
      </c>
      <c r="CU61" s="143">
        <f t="shared" si="383"/>
        <v>0</v>
      </c>
      <c r="CV61" s="143">
        <f t="shared" si="383"/>
        <v>0</v>
      </c>
      <c r="CW61" s="143"/>
      <c r="CX61" s="143">
        <f t="shared" ref="CX61:DJ61" si="384">O61*BH$2/($H61/50)^2</f>
        <v>0</v>
      </c>
      <c r="CY61" s="143">
        <f t="shared" si="384"/>
        <v>0</v>
      </c>
      <c r="CZ61" s="143">
        <f t="shared" si="384"/>
        <v>0</v>
      </c>
      <c r="DA61" s="143">
        <f t="shared" si="384"/>
        <v>0</v>
      </c>
      <c r="DB61" s="143">
        <f t="shared" si="384"/>
        <v>12.5</v>
      </c>
      <c r="DC61" s="143">
        <f t="shared" si="384"/>
        <v>0</v>
      </c>
      <c r="DD61" s="143">
        <f t="shared" si="384"/>
        <v>0</v>
      </c>
      <c r="DE61" s="143">
        <f t="shared" si="384"/>
        <v>0</v>
      </c>
      <c r="DF61" s="143">
        <f t="shared" si="384"/>
        <v>0</v>
      </c>
      <c r="DG61" s="143">
        <f t="shared" si="384"/>
        <v>0</v>
      </c>
      <c r="DH61" s="143">
        <f t="shared" si="384"/>
        <v>0</v>
      </c>
      <c r="DI61" s="143">
        <f t="shared" si="384"/>
        <v>0</v>
      </c>
      <c r="DJ61" s="143">
        <f t="shared" si="384"/>
        <v>0</v>
      </c>
      <c r="DK61" s="143">
        <f t="shared" si="37"/>
        <v>0</v>
      </c>
      <c r="DL61" s="143">
        <f t="shared" si="38"/>
        <v>0</v>
      </c>
      <c r="DM61" s="143">
        <f t="shared" ref="DM61:DN61" si="385">AD61*BW$2/($H61/50)^2</f>
        <v>0</v>
      </c>
      <c r="DN61" s="143">
        <f t="shared" si="385"/>
        <v>0</v>
      </c>
      <c r="DO61" s="143">
        <f t="shared" si="40"/>
        <v>0</v>
      </c>
      <c r="DP61" s="143">
        <f t="shared" si="41"/>
        <v>0</v>
      </c>
      <c r="DQ61" s="143">
        <f t="shared" si="42"/>
        <v>0</v>
      </c>
      <c r="DR61" s="143">
        <f t="shared" si="43"/>
        <v>0</v>
      </c>
      <c r="DS61" s="143">
        <f t="shared" si="44"/>
        <v>0</v>
      </c>
      <c r="DT61" s="143">
        <f t="shared" si="45"/>
        <v>0</v>
      </c>
      <c r="DU61" s="143">
        <f t="shared" si="46"/>
        <v>0</v>
      </c>
      <c r="DV61" s="143">
        <f t="shared" si="47"/>
        <v>37.5</v>
      </c>
      <c r="DW61" s="143">
        <f t="shared" si="48"/>
        <v>0</v>
      </c>
      <c r="DX61" s="143">
        <f t="shared" si="49"/>
        <v>0</v>
      </c>
      <c r="DY61" s="143">
        <f t="shared" si="50"/>
        <v>0</v>
      </c>
      <c r="DZ61" s="143">
        <f t="shared" si="51"/>
        <v>0</v>
      </c>
      <c r="EA61" s="143">
        <f t="shared" ref="EA61:EL61" si="386">AR61*CK$2/($H61/50)^2</f>
        <v>0</v>
      </c>
      <c r="EB61" s="143">
        <f t="shared" si="386"/>
        <v>0</v>
      </c>
      <c r="EC61" s="143">
        <f t="shared" si="386"/>
        <v>0</v>
      </c>
      <c r="ED61" s="143">
        <f t="shared" si="386"/>
        <v>0</v>
      </c>
      <c r="EE61" s="143">
        <f t="shared" si="386"/>
        <v>0</v>
      </c>
      <c r="EF61" s="143">
        <f t="shared" si="386"/>
        <v>0</v>
      </c>
      <c r="EG61" s="143">
        <f t="shared" si="386"/>
        <v>0</v>
      </c>
      <c r="EH61" s="143">
        <f t="shared" si="386"/>
        <v>0</v>
      </c>
      <c r="EI61" s="143">
        <f t="shared" si="386"/>
        <v>0</v>
      </c>
      <c r="EJ61" s="143">
        <f t="shared" si="386"/>
        <v>0</v>
      </c>
      <c r="EK61" s="143">
        <f t="shared" si="386"/>
        <v>0</v>
      </c>
      <c r="EL61" s="143">
        <f t="shared" si="386"/>
        <v>0</v>
      </c>
    </row>
    <row r="62">
      <c r="A62" s="152" t="s">
        <v>118</v>
      </c>
      <c r="B62" s="132">
        <f t="shared" si="10"/>
        <v>0</v>
      </c>
      <c r="C62" s="148"/>
      <c r="D62" s="134">
        <f t="shared" si="11"/>
        <v>0</v>
      </c>
      <c r="E62" s="135">
        <f t="shared" si="12"/>
        <v>0</v>
      </c>
      <c r="F62" s="132">
        <f t="shared" si="13"/>
        <v>0</v>
      </c>
      <c r="G62" s="136">
        <f t="shared" si="14"/>
        <v>0</v>
      </c>
      <c r="H62" s="137">
        <v>100.0</v>
      </c>
      <c r="I62" s="138" t="str">
        <f t="shared" si="362"/>
        <v>Catalyst Base</v>
      </c>
      <c r="J62" s="139">
        <f t="shared" si="15"/>
        <v>0</v>
      </c>
      <c r="K62" s="140">
        <f t="shared" si="16"/>
        <v>124</v>
      </c>
      <c r="L62" s="139">
        <v>500.0</v>
      </c>
      <c r="M62" s="139">
        <v>3000.0</v>
      </c>
      <c r="N62" s="139">
        <v>4.0</v>
      </c>
      <c r="O62" s="141"/>
      <c r="P62" s="141"/>
      <c r="Q62" s="141"/>
      <c r="R62" s="141"/>
      <c r="S62" s="139">
        <v>1.0</v>
      </c>
      <c r="T62" s="139">
        <v>1.0</v>
      </c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39">
        <v>1.0</v>
      </c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1"/>
      <c r="BC62" s="141"/>
      <c r="BD62" s="142"/>
      <c r="BE62" s="143">
        <f t="shared" si="17"/>
        <v>0</v>
      </c>
      <c r="BF62" s="143">
        <f t="shared" si="18"/>
        <v>0</v>
      </c>
      <c r="BG62" s="143">
        <f t="shared" ref="BG62:BT62" si="387">$G62*N62*IF($H62&gt;50,18,36)+$F62*N62*IF($H62&gt;50,4,8)+$E62*N62</f>
        <v>0</v>
      </c>
      <c r="BH62" s="143">
        <f t="shared" si="387"/>
        <v>0</v>
      </c>
      <c r="BI62" s="143">
        <f t="shared" si="387"/>
        <v>0</v>
      </c>
      <c r="BJ62" s="143">
        <f t="shared" si="387"/>
        <v>0</v>
      </c>
      <c r="BK62" s="143">
        <f t="shared" si="387"/>
        <v>0</v>
      </c>
      <c r="BL62" s="143">
        <f t="shared" si="387"/>
        <v>0</v>
      </c>
      <c r="BM62" s="143">
        <f t="shared" si="387"/>
        <v>0</v>
      </c>
      <c r="BN62" s="143">
        <f t="shared" si="387"/>
        <v>0</v>
      </c>
      <c r="BO62" s="143">
        <f t="shared" si="387"/>
        <v>0</v>
      </c>
      <c r="BP62" s="143">
        <f t="shared" si="387"/>
        <v>0</v>
      </c>
      <c r="BQ62" s="143">
        <f t="shared" si="387"/>
        <v>0</v>
      </c>
      <c r="BR62" s="143">
        <f t="shared" si="387"/>
        <v>0</v>
      </c>
      <c r="BS62" s="143">
        <f t="shared" si="387"/>
        <v>0</v>
      </c>
      <c r="BT62" s="143">
        <f t="shared" si="387"/>
        <v>0</v>
      </c>
      <c r="BU62" s="143">
        <f t="shared" si="20"/>
        <v>0</v>
      </c>
      <c r="BV62" s="143">
        <f t="shared" si="21"/>
        <v>0</v>
      </c>
      <c r="BW62" s="143">
        <f t="shared" ref="BW62:BX62" si="388">$G62*AD62*IF($H62&gt;50,18,36)+$F62*AD62*IF($H62&gt;50,4,8)+$E62*AD62</f>
        <v>0</v>
      </c>
      <c r="BX62" s="143">
        <f t="shared" si="388"/>
        <v>0</v>
      </c>
      <c r="BY62" s="143">
        <f t="shared" si="23"/>
        <v>0</v>
      </c>
      <c r="BZ62" s="143">
        <f t="shared" si="24"/>
        <v>0</v>
      </c>
      <c r="CA62" s="143">
        <f t="shared" si="25"/>
        <v>0</v>
      </c>
      <c r="CB62" s="143">
        <f t="shared" si="26"/>
        <v>0</v>
      </c>
      <c r="CC62" s="143">
        <f t="shared" si="27"/>
        <v>0</v>
      </c>
      <c r="CD62" s="143">
        <f t="shared" si="28"/>
        <v>0</v>
      </c>
      <c r="CE62" s="143">
        <f t="shared" si="29"/>
        <v>0</v>
      </c>
      <c r="CF62" s="143">
        <f t="shared" si="30"/>
        <v>0</v>
      </c>
      <c r="CG62" s="143">
        <f t="shared" si="31"/>
        <v>0</v>
      </c>
      <c r="CH62" s="143">
        <f t="shared" si="32"/>
        <v>0</v>
      </c>
      <c r="CI62" s="143">
        <f t="shared" si="33"/>
        <v>0</v>
      </c>
      <c r="CJ62" s="143">
        <f t="shared" si="34"/>
        <v>0</v>
      </c>
      <c r="CK62" s="143">
        <f t="shared" ref="CK62:CV62" si="389">$G62*AR62*IF($H62&gt;50,18,36)+$F62*AR62*IF($H62&gt;50,4,8)+$E62*AR62</f>
        <v>0</v>
      </c>
      <c r="CL62" s="143">
        <f t="shared" si="389"/>
        <v>0</v>
      </c>
      <c r="CM62" s="143">
        <f t="shared" si="389"/>
        <v>0</v>
      </c>
      <c r="CN62" s="143">
        <f t="shared" si="389"/>
        <v>0</v>
      </c>
      <c r="CO62" s="143">
        <f t="shared" si="389"/>
        <v>0</v>
      </c>
      <c r="CP62" s="143">
        <f t="shared" si="389"/>
        <v>0</v>
      </c>
      <c r="CQ62" s="143">
        <f t="shared" si="389"/>
        <v>0</v>
      </c>
      <c r="CR62" s="143">
        <f t="shared" si="389"/>
        <v>0</v>
      </c>
      <c r="CS62" s="143">
        <f t="shared" si="389"/>
        <v>0</v>
      </c>
      <c r="CT62" s="143">
        <f t="shared" si="389"/>
        <v>0</v>
      </c>
      <c r="CU62" s="143">
        <f t="shared" si="389"/>
        <v>0</v>
      </c>
      <c r="CV62" s="143">
        <f t="shared" si="389"/>
        <v>0</v>
      </c>
      <c r="CW62" s="143"/>
      <c r="CX62" s="143">
        <f t="shared" ref="CX62:DJ62" si="390">O62*BH$2/($H62/50)^2</f>
        <v>0</v>
      </c>
      <c r="CY62" s="143">
        <f t="shared" si="390"/>
        <v>0</v>
      </c>
      <c r="CZ62" s="143">
        <f t="shared" si="390"/>
        <v>0</v>
      </c>
      <c r="DA62" s="143">
        <f t="shared" si="390"/>
        <v>0</v>
      </c>
      <c r="DB62" s="143">
        <f t="shared" si="390"/>
        <v>12.5</v>
      </c>
      <c r="DC62" s="143">
        <f t="shared" si="390"/>
        <v>15</v>
      </c>
      <c r="DD62" s="143">
        <f t="shared" si="390"/>
        <v>0</v>
      </c>
      <c r="DE62" s="143">
        <f t="shared" si="390"/>
        <v>0</v>
      </c>
      <c r="DF62" s="143">
        <f t="shared" si="390"/>
        <v>0</v>
      </c>
      <c r="DG62" s="143">
        <f t="shared" si="390"/>
        <v>0</v>
      </c>
      <c r="DH62" s="143">
        <f t="shared" si="390"/>
        <v>0</v>
      </c>
      <c r="DI62" s="143">
        <f t="shared" si="390"/>
        <v>0</v>
      </c>
      <c r="DJ62" s="143">
        <f t="shared" si="390"/>
        <v>0</v>
      </c>
      <c r="DK62" s="143">
        <f t="shared" si="37"/>
        <v>0</v>
      </c>
      <c r="DL62" s="143">
        <f t="shared" si="38"/>
        <v>0</v>
      </c>
      <c r="DM62" s="143">
        <f t="shared" ref="DM62:DN62" si="391">AD62*BW$2/($H62/50)^2</f>
        <v>0</v>
      </c>
      <c r="DN62" s="143">
        <f t="shared" si="391"/>
        <v>0</v>
      </c>
      <c r="DO62" s="143">
        <f t="shared" si="40"/>
        <v>0</v>
      </c>
      <c r="DP62" s="143">
        <f t="shared" si="41"/>
        <v>0</v>
      </c>
      <c r="DQ62" s="143">
        <f t="shared" si="42"/>
        <v>0</v>
      </c>
      <c r="DR62" s="143">
        <f t="shared" si="43"/>
        <v>0</v>
      </c>
      <c r="DS62" s="143">
        <f t="shared" si="44"/>
        <v>0</v>
      </c>
      <c r="DT62" s="143">
        <f t="shared" si="45"/>
        <v>0</v>
      </c>
      <c r="DU62" s="143">
        <f t="shared" si="46"/>
        <v>0</v>
      </c>
      <c r="DV62" s="143">
        <f t="shared" si="47"/>
        <v>37.5</v>
      </c>
      <c r="DW62" s="143">
        <f t="shared" si="48"/>
        <v>0</v>
      </c>
      <c r="DX62" s="143">
        <f t="shared" si="49"/>
        <v>0</v>
      </c>
      <c r="DY62" s="143">
        <f t="shared" si="50"/>
        <v>0</v>
      </c>
      <c r="DZ62" s="143">
        <f t="shared" si="51"/>
        <v>0</v>
      </c>
      <c r="EA62" s="143">
        <f t="shared" ref="EA62:EL62" si="392">AR62*CK$2/($H62/50)^2</f>
        <v>0</v>
      </c>
      <c r="EB62" s="143">
        <f t="shared" si="392"/>
        <v>0</v>
      </c>
      <c r="EC62" s="143">
        <f t="shared" si="392"/>
        <v>0</v>
      </c>
      <c r="ED62" s="143">
        <f t="shared" si="392"/>
        <v>0</v>
      </c>
      <c r="EE62" s="143">
        <f t="shared" si="392"/>
        <v>0</v>
      </c>
      <c r="EF62" s="143">
        <f t="shared" si="392"/>
        <v>0</v>
      </c>
      <c r="EG62" s="143">
        <f t="shared" si="392"/>
        <v>0</v>
      </c>
      <c r="EH62" s="143">
        <f t="shared" si="392"/>
        <v>0</v>
      </c>
      <c r="EI62" s="143">
        <f t="shared" si="392"/>
        <v>0</v>
      </c>
      <c r="EJ62" s="143">
        <f t="shared" si="392"/>
        <v>0</v>
      </c>
      <c r="EK62" s="143">
        <f t="shared" si="392"/>
        <v>0</v>
      </c>
      <c r="EL62" s="143">
        <f t="shared" si="392"/>
        <v>0</v>
      </c>
    </row>
    <row r="63">
      <c r="A63" s="153" t="s">
        <v>119</v>
      </c>
      <c r="B63" s="132">
        <f t="shared" si="10"/>
        <v>0</v>
      </c>
      <c r="C63" s="144"/>
      <c r="D63" s="134">
        <f t="shared" si="11"/>
        <v>0</v>
      </c>
      <c r="E63" s="135">
        <f t="shared" si="12"/>
        <v>0</v>
      </c>
      <c r="F63" s="132">
        <f t="shared" si="13"/>
        <v>0</v>
      </c>
      <c r="G63" s="136">
        <f t="shared" si="14"/>
        <v>0</v>
      </c>
      <c r="H63" s="137">
        <v>100.0</v>
      </c>
      <c r="I63" s="138" t="str">
        <f t="shared" ref="I63:I71" si="399">$A$9</f>
        <v>Solvent Base</v>
      </c>
      <c r="J63" s="139">
        <f t="shared" si="15"/>
        <v>0</v>
      </c>
      <c r="K63" s="140">
        <f t="shared" si="16"/>
        <v>150</v>
      </c>
      <c r="L63" s="139">
        <v>200.0</v>
      </c>
      <c r="M63" s="139" t="s">
        <v>61</v>
      </c>
      <c r="N63" s="139">
        <v>2.0</v>
      </c>
      <c r="O63" s="141"/>
      <c r="P63" s="141"/>
      <c r="Q63" s="141"/>
      <c r="R63" s="141"/>
      <c r="S63" s="139">
        <v>1.0</v>
      </c>
      <c r="T63" s="141"/>
      <c r="U63" s="141"/>
      <c r="V63" s="141"/>
      <c r="W63" s="141"/>
      <c r="X63" s="141"/>
      <c r="Y63" s="141"/>
      <c r="Z63" s="141"/>
      <c r="AA63" s="139"/>
      <c r="AB63" s="141"/>
      <c r="AC63" s="141"/>
      <c r="AD63" s="141"/>
      <c r="AE63" s="141"/>
      <c r="AF63" s="141"/>
      <c r="AG63" s="141"/>
      <c r="AH63" s="141"/>
      <c r="AI63" s="141"/>
      <c r="AJ63" s="139">
        <v>1.0</v>
      </c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2"/>
      <c r="BE63" s="143">
        <f t="shared" si="17"/>
        <v>0</v>
      </c>
      <c r="BF63" s="143">
        <f t="shared" si="18"/>
        <v>0</v>
      </c>
      <c r="BG63" s="143">
        <f t="shared" ref="BG63:BT63" si="393">$G63*N63*IF($H63&gt;50,18,36)+$F63*N63*IF($H63&gt;50,4,8)+$E63*N63</f>
        <v>0</v>
      </c>
      <c r="BH63" s="143">
        <f t="shared" si="393"/>
        <v>0</v>
      </c>
      <c r="BI63" s="143">
        <f t="shared" si="393"/>
        <v>0</v>
      </c>
      <c r="BJ63" s="143">
        <f t="shared" si="393"/>
        <v>0</v>
      </c>
      <c r="BK63" s="143">
        <f t="shared" si="393"/>
        <v>0</v>
      </c>
      <c r="BL63" s="143">
        <f t="shared" si="393"/>
        <v>0</v>
      </c>
      <c r="BM63" s="143">
        <f t="shared" si="393"/>
        <v>0</v>
      </c>
      <c r="BN63" s="143">
        <f t="shared" si="393"/>
        <v>0</v>
      </c>
      <c r="BO63" s="143">
        <f t="shared" si="393"/>
        <v>0</v>
      </c>
      <c r="BP63" s="143">
        <f t="shared" si="393"/>
        <v>0</v>
      </c>
      <c r="BQ63" s="143">
        <f t="shared" si="393"/>
        <v>0</v>
      </c>
      <c r="BR63" s="143">
        <f t="shared" si="393"/>
        <v>0</v>
      </c>
      <c r="BS63" s="143">
        <f t="shared" si="393"/>
        <v>0</v>
      </c>
      <c r="BT63" s="143">
        <f t="shared" si="393"/>
        <v>0</v>
      </c>
      <c r="BU63" s="143">
        <f t="shared" si="20"/>
        <v>0</v>
      </c>
      <c r="BV63" s="143">
        <f t="shared" si="21"/>
        <v>0</v>
      </c>
      <c r="BW63" s="143">
        <f t="shared" ref="BW63:BX63" si="394">$G63*AD63*IF($H63&gt;50,18,36)+$F63*AD63*IF($H63&gt;50,4,8)+$E63*AD63</f>
        <v>0</v>
      </c>
      <c r="BX63" s="143">
        <f t="shared" si="394"/>
        <v>0</v>
      </c>
      <c r="BY63" s="143">
        <f t="shared" si="23"/>
        <v>0</v>
      </c>
      <c r="BZ63" s="143">
        <f t="shared" si="24"/>
        <v>0</v>
      </c>
      <c r="CA63" s="143">
        <f t="shared" si="25"/>
        <v>0</v>
      </c>
      <c r="CB63" s="143">
        <f t="shared" si="26"/>
        <v>0</v>
      </c>
      <c r="CC63" s="143">
        <f t="shared" si="27"/>
        <v>0</v>
      </c>
      <c r="CD63" s="143">
        <f t="shared" si="28"/>
        <v>0</v>
      </c>
      <c r="CE63" s="143">
        <f t="shared" si="29"/>
        <v>0</v>
      </c>
      <c r="CF63" s="143">
        <f t="shared" si="30"/>
        <v>0</v>
      </c>
      <c r="CG63" s="143">
        <f t="shared" si="31"/>
        <v>0</v>
      </c>
      <c r="CH63" s="143">
        <f t="shared" si="32"/>
        <v>0</v>
      </c>
      <c r="CI63" s="143">
        <f t="shared" si="33"/>
        <v>0</v>
      </c>
      <c r="CJ63" s="143">
        <f t="shared" si="34"/>
        <v>0</v>
      </c>
      <c r="CK63" s="143">
        <f t="shared" ref="CK63:CV63" si="395">$G63*AR63*IF($H63&gt;50,18,36)+$F63*AR63*IF($H63&gt;50,4,8)+$E63*AR63</f>
        <v>0</v>
      </c>
      <c r="CL63" s="143">
        <f t="shared" si="395"/>
        <v>0</v>
      </c>
      <c r="CM63" s="143">
        <f t="shared" si="395"/>
        <v>0</v>
      </c>
      <c r="CN63" s="143">
        <f t="shared" si="395"/>
        <v>0</v>
      </c>
      <c r="CO63" s="143">
        <f t="shared" si="395"/>
        <v>0</v>
      </c>
      <c r="CP63" s="143">
        <f t="shared" si="395"/>
        <v>0</v>
      </c>
      <c r="CQ63" s="143">
        <f t="shared" si="395"/>
        <v>0</v>
      </c>
      <c r="CR63" s="143">
        <f t="shared" si="395"/>
        <v>0</v>
      </c>
      <c r="CS63" s="143">
        <f t="shared" si="395"/>
        <v>0</v>
      </c>
      <c r="CT63" s="143">
        <f t="shared" si="395"/>
        <v>0</v>
      </c>
      <c r="CU63" s="143">
        <f t="shared" si="395"/>
        <v>0</v>
      </c>
      <c r="CV63" s="143">
        <f t="shared" si="395"/>
        <v>0</v>
      </c>
      <c r="CW63" s="143"/>
      <c r="CX63" s="143">
        <f t="shared" ref="CX63:DJ63" si="396">O63*BH$2/($H63/50)^2</f>
        <v>0</v>
      </c>
      <c r="CY63" s="143">
        <f t="shared" si="396"/>
        <v>0</v>
      </c>
      <c r="CZ63" s="143">
        <f t="shared" si="396"/>
        <v>0</v>
      </c>
      <c r="DA63" s="143">
        <f t="shared" si="396"/>
        <v>0</v>
      </c>
      <c r="DB63" s="143">
        <f t="shared" si="396"/>
        <v>12.5</v>
      </c>
      <c r="DC63" s="143">
        <f t="shared" si="396"/>
        <v>0</v>
      </c>
      <c r="DD63" s="143">
        <f t="shared" si="396"/>
        <v>0</v>
      </c>
      <c r="DE63" s="143">
        <f t="shared" si="396"/>
        <v>0</v>
      </c>
      <c r="DF63" s="143">
        <f t="shared" si="396"/>
        <v>0</v>
      </c>
      <c r="DG63" s="143">
        <f t="shared" si="396"/>
        <v>0</v>
      </c>
      <c r="DH63" s="143">
        <f t="shared" si="396"/>
        <v>0</v>
      </c>
      <c r="DI63" s="143">
        <f t="shared" si="396"/>
        <v>0</v>
      </c>
      <c r="DJ63" s="143">
        <f t="shared" si="396"/>
        <v>0</v>
      </c>
      <c r="DK63" s="143">
        <f t="shared" si="37"/>
        <v>0</v>
      </c>
      <c r="DL63" s="143">
        <f t="shared" si="38"/>
        <v>0</v>
      </c>
      <c r="DM63" s="143">
        <f t="shared" ref="DM63:DN63" si="397">AD63*BW$2/($H63/50)^2</f>
        <v>0</v>
      </c>
      <c r="DN63" s="143">
        <f t="shared" si="397"/>
        <v>0</v>
      </c>
      <c r="DO63" s="143">
        <f t="shared" si="40"/>
        <v>0</v>
      </c>
      <c r="DP63" s="143">
        <f t="shared" si="41"/>
        <v>0</v>
      </c>
      <c r="DQ63" s="143">
        <f t="shared" si="42"/>
        <v>0</v>
      </c>
      <c r="DR63" s="143">
        <f t="shared" si="43"/>
        <v>0</v>
      </c>
      <c r="DS63" s="143">
        <f t="shared" si="44"/>
        <v>100</v>
      </c>
      <c r="DT63" s="143">
        <f t="shared" si="45"/>
        <v>0</v>
      </c>
      <c r="DU63" s="143">
        <f t="shared" si="46"/>
        <v>0</v>
      </c>
      <c r="DV63" s="143">
        <f t="shared" si="47"/>
        <v>0</v>
      </c>
      <c r="DW63" s="143">
        <f t="shared" si="48"/>
        <v>0</v>
      </c>
      <c r="DX63" s="143">
        <f t="shared" si="49"/>
        <v>0</v>
      </c>
      <c r="DY63" s="143">
        <f t="shared" si="50"/>
        <v>0</v>
      </c>
      <c r="DZ63" s="143">
        <f t="shared" si="51"/>
        <v>0</v>
      </c>
      <c r="EA63" s="143">
        <f t="shared" ref="EA63:EL63" si="398">AR63*CK$2/($H63/50)^2</f>
        <v>0</v>
      </c>
      <c r="EB63" s="143">
        <f t="shared" si="398"/>
        <v>0</v>
      </c>
      <c r="EC63" s="143">
        <f t="shared" si="398"/>
        <v>0</v>
      </c>
      <c r="ED63" s="143">
        <f t="shared" si="398"/>
        <v>0</v>
      </c>
      <c r="EE63" s="143">
        <f t="shared" si="398"/>
        <v>0</v>
      </c>
      <c r="EF63" s="143">
        <f t="shared" si="398"/>
        <v>0</v>
      </c>
      <c r="EG63" s="143">
        <f t="shared" si="398"/>
        <v>0</v>
      </c>
      <c r="EH63" s="143">
        <f t="shared" si="398"/>
        <v>0</v>
      </c>
      <c r="EI63" s="143">
        <f t="shared" si="398"/>
        <v>0</v>
      </c>
      <c r="EJ63" s="143">
        <f t="shared" si="398"/>
        <v>0</v>
      </c>
      <c r="EK63" s="143">
        <f t="shared" si="398"/>
        <v>0</v>
      </c>
      <c r="EL63" s="143">
        <f t="shared" si="398"/>
        <v>0</v>
      </c>
    </row>
    <row r="64">
      <c r="A64" s="153" t="s">
        <v>120</v>
      </c>
      <c r="B64" s="132">
        <f t="shared" si="10"/>
        <v>0</v>
      </c>
      <c r="C64" s="148"/>
      <c r="D64" s="134">
        <f t="shared" si="11"/>
        <v>0</v>
      </c>
      <c r="E64" s="135">
        <f t="shared" si="12"/>
        <v>0</v>
      </c>
      <c r="F64" s="132">
        <f t="shared" si="13"/>
        <v>0</v>
      </c>
      <c r="G64" s="136">
        <f t="shared" si="14"/>
        <v>0</v>
      </c>
      <c r="H64" s="137">
        <v>100.0</v>
      </c>
      <c r="I64" s="138" t="str">
        <f t="shared" si="399"/>
        <v>Solvent Base</v>
      </c>
      <c r="J64" s="139">
        <f t="shared" si="15"/>
        <v>0</v>
      </c>
      <c r="K64" s="140">
        <f t="shared" si="16"/>
        <v>165</v>
      </c>
      <c r="L64" s="139">
        <v>400.0</v>
      </c>
      <c r="M64" s="139">
        <v>1200.0</v>
      </c>
      <c r="N64" s="139">
        <v>4.0</v>
      </c>
      <c r="O64" s="141"/>
      <c r="P64" s="141"/>
      <c r="Q64" s="141"/>
      <c r="R64" s="141"/>
      <c r="S64" s="139">
        <v>1.0</v>
      </c>
      <c r="T64" s="139">
        <v>1.0</v>
      </c>
      <c r="U64" s="141"/>
      <c r="V64" s="141"/>
      <c r="W64" s="141"/>
      <c r="X64" s="141"/>
      <c r="Y64" s="141"/>
      <c r="Z64" s="141"/>
      <c r="AA64" s="139"/>
      <c r="AB64" s="141"/>
      <c r="AC64" s="141"/>
      <c r="AD64" s="141"/>
      <c r="AE64" s="141"/>
      <c r="AF64" s="141"/>
      <c r="AG64" s="141"/>
      <c r="AH64" s="141"/>
      <c r="AI64" s="141"/>
      <c r="AJ64" s="139">
        <v>1.0</v>
      </c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2"/>
      <c r="BE64" s="143">
        <f t="shared" si="17"/>
        <v>0</v>
      </c>
      <c r="BF64" s="143">
        <f t="shared" si="18"/>
        <v>0</v>
      </c>
      <c r="BG64" s="143">
        <f t="shared" ref="BG64:BT64" si="400">$G64*N64*IF($H64&gt;50,18,36)+$F64*N64*IF($H64&gt;50,4,8)+$E64*N64</f>
        <v>0</v>
      </c>
      <c r="BH64" s="143">
        <f t="shared" si="400"/>
        <v>0</v>
      </c>
      <c r="BI64" s="143">
        <f t="shared" si="400"/>
        <v>0</v>
      </c>
      <c r="BJ64" s="143">
        <f t="shared" si="400"/>
        <v>0</v>
      </c>
      <c r="BK64" s="143">
        <f t="shared" si="400"/>
        <v>0</v>
      </c>
      <c r="BL64" s="143">
        <f t="shared" si="400"/>
        <v>0</v>
      </c>
      <c r="BM64" s="143">
        <f t="shared" si="400"/>
        <v>0</v>
      </c>
      <c r="BN64" s="143">
        <f t="shared" si="400"/>
        <v>0</v>
      </c>
      <c r="BO64" s="143">
        <f t="shared" si="400"/>
        <v>0</v>
      </c>
      <c r="BP64" s="143">
        <f t="shared" si="400"/>
        <v>0</v>
      </c>
      <c r="BQ64" s="143">
        <f t="shared" si="400"/>
        <v>0</v>
      </c>
      <c r="BR64" s="143">
        <f t="shared" si="400"/>
        <v>0</v>
      </c>
      <c r="BS64" s="143">
        <f t="shared" si="400"/>
        <v>0</v>
      </c>
      <c r="BT64" s="143">
        <f t="shared" si="400"/>
        <v>0</v>
      </c>
      <c r="BU64" s="143">
        <f t="shared" si="20"/>
        <v>0</v>
      </c>
      <c r="BV64" s="143">
        <f t="shared" si="21"/>
        <v>0</v>
      </c>
      <c r="BW64" s="143">
        <f t="shared" ref="BW64:BX64" si="401">$G64*AD64*IF($H64&gt;50,18,36)+$F64*AD64*IF($H64&gt;50,4,8)+$E64*AD64</f>
        <v>0</v>
      </c>
      <c r="BX64" s="143">
        <f t="shared" si="401"/>
        <v>0</v>
      </c>
      <c r="BY64" s="143">
        <f t="shared" si="23"/>
        <v>0</v>
      </c>
      <c r="BZ64" s="143">
        <f t="shared" si="24"/>
        <v>0</v>
      </c>
      <c r="CA64" s="143">
        <f t="shared" si="25"/>
        <v>0</v>
      </c>
      <c r="CB64" s="143">
        <f t="shared" si="26"/>
        <v>0</v>
      </c>
      <c r="CC64" s="143">
        <f t="shared" si="27"/>
        <v>0</v>
      </c>
      <c r="CD64" s="143">
        <f t="shared" si="28"/>
        <v>0</v>
      </c>
      <c r="CE64" s="143">
        <f t="shared" si="29"/>
        <v>0</v>
      </c>
      <c r="CF64" s="143">
        <f t="shared" si="30"/>
        <v>0</v>
      </c>
      <c r="CG64" s="143">
        <f t="shared" si="31"/>
        <v>0</v>
      </c>
      <c r="CH64" s="143">
        <f t="shared" si="32"/>
        <v>0</v>
      </c>
      <c r="CI64" s="143">
        <f t="shared" si="33"/>
        <v>0</v>
      </c>
      <c r="CJ64" s="143">
        <f t="shared" si="34"/>
        <v>0</v>
      </c>
      <c r="CK64" s="143">
        <f t="shared" ref="CK64:CV64" si="402">$G64*AR64*IF($H64&gt;50,18,36)+$F64*AR64*IF($H64&gt;50,4,8)+$E64*AR64</f>
        <v>0</v>
      </c>
      <c r="CL64" s="143">
        <f t="shared" si="402"/>
        <v>0</v>
      </c>
      <c r="CM64" s="143">
        <f t="shared" si="402"/>
        <v>0</v>
      </c>
      <c r="CN64" s="143">
        <f t="shared" si="402"/>
        <v>0</v>
      </c>
      <c r="CO64" s="143">
        <f t="shared" si="402"/>
        <v>0</v>
      </c>
      <c r="CP64" s="143">
        <f t="shared" si="402"/>
        <v>0</v>
      </c>
      <c r="CQ64" s="143">
        <f t="shared" si="402"/>
        <v>0</v>
      </c>
      <c r="CR64" s="143">
        <f t="shared" si="402"/>
        <v>0</v>
      </c>
      <c r="CS64" s="143">
        <f t="shared" si="402"/>
        <v>0</v>
      </c>
      <c r="CT64" s="143">
        <f t="shared" si="402"/>
        <v>0</v>
      </c>
      <c r="CU64" s="143">
        <f t="shared" si="402"/>
        <v>0</v>
      </c>
      <c r="CV64" s="143">
        <f t="shared" si="402"/>
        <v>0</v>
      </c>
      <c r="CW64" s="143"/>
      <c r="CX64" s="143">
        <f t="shared" ref="CX64:DJ64" si="403">O64*BH$2/($H64/50)^2</f>
        <v>0</v>
      </c>
      <c r="CY64" s="143">
        <f t="shared" si="403"/>
        <v>0</v>
      </c>
      <c r="CZ64" s="143">
        <f t="shared" si="403"/>
        <v>0</v>
      </c>
      <c r="DA64" s="143">
        <f t="shared" si="403"/>
        <v>0</v>
      </c>
      <c r="DB64" s="143">
        <f t="shared" si="403"/>
        <v>12.5</v>
      </c>
      <c r="DC64" s="143">
        <f t="shared" si="403"/>
        <v>15</v>
      </c>
      <c r="DD64" s="143">
        <f t="shared" si="403"/>
        <v>0</v>
      </c>
      <c r="DE64" s="143">
        <f t="shared" si="403"/>
        <v>0</v>
      </c>
      <c r="DF64" s="143">
        <f t="shared" si="403"/>
        <v>0</v>
      </c>
      <c r="DG64" s="143">
        <f t="shared" si="403"/>
        <v>0</v>
      </c>
      <c r="DH64" s="143">
        <f t="shared" si="403"/>
        <v>0</v>
      </c>
      <c r="DI64" s="143">
        <f t="shared" si="403"/>
        <v>0</v>
      </c>
      <c r="DJ64" s="143">
        <f t="shared" si="403"/>
        <v>0</v>
      </c>
      <c r="DK64" s="143">
        <f t="shared" si="37"/>
        <v>0</v>
      </c>
      <c r="DL64" s="143">
        <f t="shared" si="38"/>
        <v>0</v>
      </c>
      <c r="DM64" s="143">
        <f t="shared" ref="DM64:DN64" si="404">AD64*BW$2/($H64/50)^2</f>
        <v>0</v>
      </c>
      <c r="DN64" s="143">
        <f t="shared" si="404"/>
        <v>0</v>
      </c>
      <c r="DO64" s="143">
        <f t="shared" si="40"/>
        <v>0</v>
      </c>
      <c r="DP64" s="143">
        <f t="shared" si="41"/>
        <v>0</v>
      </c>
      <c r="DQ64" s="143">
        <f t="shared" si="42"/>
        <v>0</v>
      </c>
      <c r="DR64" s="143">
        <f t="shared" si="43"/>
        <v>0</v>
      </c>
      <c r="DS64" s="143">
        <f t="shared" si="44"/>
        <v>100</v>
      </c>
      <c r="DT64" s="143">
        <f t="shared" si="45"/>
        <v>0</v>
      </c>
      <c r="DU64" s="143">
        <f t="shared" si="46"/>
        <v>0</v>
      </c>
      <c r="DV64" s="143">
        <f t="shared" si="47"/>
        <v>0</v>
      </c>
      <c r="DW64" s="143">
        <f t="shared" si="48"/>
        <v>0</v>
      </c>
      <c r="DX64" s="143">
        <f t="shared" si="49"/>
        <v>0</v>
      </c>
      <c r="DY64" s="143">
        <f t="shared" si="50"/>
        <v>0</v>
      </c>
      <c r="DZ64" s="143">
        <f t="shared" si="51"/>
        <v>0</v>
      </c>
      <c r="EA64" s="143">
        <f t="shared" ref="EA64:EL64" si="405">AR64*CK$2/($H64/50)^2</f>
        <v>0</v>
      </c>
      <c r="EB64" s="143">
        <f t="shared" si="405"/>
        <v>0</v>
      </c>
      <c r="EC64" s="143">
        <f t="shared" si="405"/>
        <v>0</v>
      </c>
      <c r="ED64" s="143">
        <f t="shared" si="405"/>
        <v>0</v>
      </c>
      <c r="EE64" s="143">
        <f t="shared" si="405"/>
        <v>0</v>
      </c>
      <c r="EF64" s="143">
        <f t="shared" si="405"/>
        <v>0</v>
      </c>
      <c r="EG64" s="143">
        <f t="shared" si="405"/>
        <v>0</v>
      </c>
      <c r="EH64" s="143">
        <f t="shared" si="405"/>
        <v>0</v>
      </c>
      <c r="EI64" s="143">
        <f t="shared" si="405"/>
        <v>0</v>
      </c>
      <c r="EJ64" s="143">
        <f t="shared" si="405"/>
        <v>0</v>
      </c>
      <c r="EK64" s="143">
        <f t="shared" si="405"/>
        <v>0</v>
      </c>
      <c r="EL64" s="143">
        <f t="shared" si="405"/>
        <v>0</v>
      </c>
    </row>
    <row r="65">
      <c r="A65" s="153" t="s">
        <v>121</v>
      </c>
      <c r="B65" s="132">
        <f t="shared" si="10"/>
        <v>0</v>
      </c>
      <c r="C65" s="148"/>
      <c r="D65" s="134">
        <f t="shared" si="11"/>
        <v>0</v>
      </c>
      <c r="E65" s="135">
        <f t="shared" si="12"/>
        <v>0</v>
      </c>
      <c r="F65" s="132">
        <f t="shared" si="13"/>
        <v>0</v>
      </c>
      <c r="G65" s="136">
        <f t="shared" si="14"/>
        <v>0</v>
      </c>
      <c r="H65" s="137">
        <v>100.0</v>
      </c>
      <c r="I65" s="138" t="str">
        <f t="shared" si="399"/>
        <v>Solvent Base</v>
      </c>
      <c r="J65" s="139">
        <f t="shared" si="15"/>
        <v>0</v>
      </c>
      <c r="K65" s="140">
        <f t="shared" si="16"/>
        <v>150</v>
      </c>
      <c r="L65" s="139">
        <v>400.0</v>
      </c>
      <c r="M65" s="139">
        <v>1200.0</v>
      </c>
      <c r="N65" s="139">
        <v>3.0</v>
      </c>
      <c r="O65" s="141"/>
      <c r="P65" s="141"/>
      <c r="Q65" s="141"/>
      <c r="R65" s="141"/>
      <c r="S65" s="139">
        <v>1.0</v>
      </c>
      <c r="T65" s="141"/>
      <c r="U65" s="141"/>
      <c r="V65" s="141"/>
      <c r="W65" s="141"/>
      <c r="X65" s="141"/>
      <c r="Y65" s="141"/>
      <c r="Z65" s="141"/>
      <c r="AA65" s="139"/>
      <c r="AB65" s="141"/>
      <c r="AC65" s="141"/>
      <c r="AD65" s="141"/>
      <c r="AE65" s="141"/>
      <c r="AF65" s="141"/>
      <c r="AG65" s="141"/>
      <c r="AH65" s="141"/>
      <c r="AI65" s="141"/>
      <c r="AJ65" s="139">
        <v>1.0</v>
      </c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2"/>
      <c r="BE65" s="143">
        <f t="shared" si="17"/>
        <v>0</v>
      </c>
      <c r="BF65" s="143">
        <f t="shared" si="18"/>
        <v>0</v>
      </c>
      <c r="BG65" s="143">
        <f t="shared" ref="BG65:BT65" si="406">$G65*N65*IF($H65&gt;50,18,36)+$F65*N65*IF($H65&gt;50,4,8)+$E65*N65</f>
        <v>0</v>
      </c>
      <c r="BH65" s="143">
        <f t="shared" si="406"/>
        <v>0</v>
      </c>
      <c r="BI65" s="143">
        <f t="shared" si="406"/>
        <v>0</v>
      </c>
      <c r="BJ65" s="143">
        <f t="shared" si="406"/>
        <v>0</v>
      </c>
      <c r="BK65" s="143">
        <f t="shared" si="406"/>
        <v>0</v>
      </c>
      <c r="BL65" s="143">
        <f t="shared" si="406"/>
        <v>0</v>
      </c>
      <c r="BM65" s="143">
        <f t="shared" si="406"/>
        <v>0</v>
      </c>
      <c r="BN65" s="143">
        <f t="shared" si="406"/>
        <v>0</v>
      </c>
      <c r="BO65" s="143">
        <f t="shared" si="406"/>
        <v>0</v>
      </c>
      <c r="BP65" s="143">
        <f t="shared" si="406"/>
        <v>0</v>
      </c>
      <c r="BQ65" s="143">
        <f t="shared" si="406"/>
        <v>0</v>
      </c>
      <c r="BR65" s="143">
        <f t="shared" si="406"/>
        <v>0</v>
      </c>
      <c r="BS65" s="143">
        <f t="shared" si="406"/>
        <v>0</v>
      </c>
      <c r="BT65" s="143">
        <f t="shared" si="406"/>
        <v>0</v>
      </c>
      <c r="BU65" s="143">
        <f t="shared" si="20"/>
        <v>0</v>
      </c>
      <c r="BV65" s="143">
        <f t="shared" si="21"/>
        <v>0</v>
      </c>
      <c r="BW65" s="143">
        <f t="shared" ref="BW65:BX65" si="407">$G65*AD65*IF($H65&gt;50,18,36)+$F65*AD65*IF($H65&gt;50,4,8)+$E65*AD65</f>
        <v>0</v>
      </c>
      <c r="BX65" s="143">
        <f t="shared" si="407"/>
        <v>0</v>
      </c>
      <c r="BY65" s="143">
        <f t="shared" si="23"/>
        <v>0</v>
      </c>
      <c r="BZ65" s="143">
        <f t="shared" si="24"/>
        <v>0</v>
      </c>
      <c r="CA65" s="143">
        <f t="shared" si="25"/>
        <v>0</v>
      </c>
      <c r="CB65" s="143">
        <f t="shared" si="26"/>
        <v>0</v>
      </c>
      <c r="CC65" s="143">
        <f t="shared" si="27"/>
        <v>0</v>
      </c>
      <c r="CD65" s="143">
        <f t="shared" si="28"/>
        <v>0</v>
      </c>
      <c r="CE65" s="143">
        <f t="shared" si="29"/>
        <v>0</v>
      </c>
      <c r="CF65" s="143">
        <f t="shared" si="30"/>
        <v>0</v>
      </c>
      <c r="CG65" s="143">
        <f t="shared" si="31"/>
        <v>0</v>
      </c>
      <c r="CH65" s="143">
        <f t="shared" si="32"/>
        <v>0</v>
      </c>
      <c r="CI65" s="143">
        <f t="shared" si="33"/>
        <v>0</v>
      </c>
      <c r="CJ65" s="143">
        <f t="shared" si="34"/>
        <v>0</v>
      </c>
      <c r="CK65" s="143">
        <f t="shared" ref="CK65:CV65" si="408">$G65*AR65*IF($H65&gt;50,18,36)+$F65*AR65*IF($H65&gt;50,4,8)+$E65*AR65</f>
        <v>0</v>
      </c>
      <c r="CL65" s="143">
        <f t="shared" si="408"/>
        <v>0</v>
      </c>
      <c r="CM65" s="143">
        <f t="shared" si="408"/>
        <v>0</v>
      </c>
      <c r="CN65" s="143">
        <f t="shared" si="408"/>
        <v>0</v>
      </c>
      <c r="CO65" s="143">
        <f t="shared" si="408"/>
        <v>0</v>
      </c>
      <c r="CP65" s="143">
        <f t="shared" si="408"/>
        <v>0</v>
      </c>
      <c r="CQ65" s="143">
        <f t="shared" si="408"/>
        <v>0</v>
      </c>
      <c r="CR65" s="143">
        <f t="shared" si="408"/>
        <v>0</v>
      </c>
      <c r="CS65" s="143">
        <f t="shared" si="408"/>
        <v>0</v>
      </c>
      <c r="CT65" s="143">
        <f t="shared" si="408"/>
        <v>0</v>
      </c>
      <c r="CU65" s="143">
        <f t="shared" si="408"/>
        <v>0</v>
      </c>
      <c r="CV65" s="143">
        <f t="shared" si="408"/>
        <v>0</v>
      </c>
      <c r="CW65" s="143"/>
      <c r="CX65" s="143">
        <f t="shared" ref="CX65:DJ65" si="409">O65*BH$2/($H65/50)^2</f>
        <v>0</v>
      </c>
      <c r="CY65" s="143">
        <f t="shared" si="409"/>
        <v>0</v>
      </c>
      <c r="CZ65" s="143">
        <f t="shared" si="409"/>
        <v>0</v>
      </c>
      <c r="DA65" s="143">
        <f t="shared" si="409"/>
        <v>0</v>
      </c>
      <c r="DB65" s="143">
        <f t="shared" si="409"/>
        <v>12.5</v>
      </c>
      <c r="DC65" s="143">
        <f t="shared" si="409"/>
        <v>0</v>
      </c>
      <c r="DD65" s="143">
        <f t="shared" si="409"/>
        <v>0</v>
      </c>
      <c r="DE65" s="143">
        <f t="shared" si="409"/>
        <v>0</v>
      </c>
      <c r="DF65" s="143">
        <f t="shared" si="409"/>
        <v>0</v>
      </c>
      <c r="DG65" s="143">
        <f t="shared" si="409"/>
        <v>0</v>
      </c>
      <c r="DH65" s="143">
        <f t="shared" si="409"/>
        <v>0</v>
      </c>
      <c r="DI65" s="143">
        <f t="shared" si="409"/>
        <v>0</v>
      </c>
      <c r="DJ65" s="143">
        <f t="shared" si="409"/>
        <v>0</v>
      </c>
      <c r="DK65" s="143">
        <f t="shared" si="37"/>
        <v>0</v>
      </c>
      <c r="DL65" s="143">
        <f t="shared" si="38"/>
        <v>0</v>
      </c>
      <c r="DM65" s="143">
        <f t="shared" ref="DM65:DN65" si="410">AD65*BW$2/($H65/50)^2</f>
        <v>0</v>
      </c>
      <c r="DN65" s="143">
        <f t="shared" si="410"/>
        <v>0</v>
      </c>
      <c r="DO65" s="143">
        <f t="shared" si="40"/>
        <v>0</v>
      </c>
      <c r="DP65" s="143">
        <f t="shared" si="41"/>
        <v>0</v>
      </c>
      <c r="DQ65" s="143">
        <f t="shared" si="42"/>
        <v>0</v>
      </c>
      <c r="DR65" s="143">
        <f t="shared" si="43"/>
        <v>0</v>
      </c>
      <c r="DS65" s="143">
        <f t="shared" si="44"/>
        <v>100</v>
      </c>
      <c r="DT65" s="143">
        <f t="shared" si="45"/>
        <v>0</v>
      </c>
      <c r="DU65" s="143">
        <f t="shared" si="46"/>
        <v>0</v>
      </c>
      <c r="DV65" s="143">
        <f t="shared" si="47"/>
        <v>0</v>
      </c>
      <c r="DW65" s="143">
        <f t="shared" si="48"/>
        <v>0</v>
      </c>
      <c r="DX65" s="143">
        <f t="shared" si="49"/>
        <v>0</v>
      </c>
      <c r="DY65" s="143">
        <f t="shared" si="50"/>
        <v>0</v>
      </c>
      <c r="DZ65" s="143">
        <f t="shared" si="51"/>
        <v>0</v>
      </c>
      <c r="EA65" s="143">
        <f t="shared" ref="EA65:EL65" si="411">AR65*CK$2/($H65/50)^2</f>
        <v>0</v>
      </c>
      <c r="EB65" s="143">
        <f t="shared" si="411"/>
        <v>0</v>
      </c>
      <c r="EC65" s="143">
        <f t="shared" si="411"/>
        <v>0</v>
      </c>
      <c r="ED65" s="143">
        <f t="shared" si="411"/>
        <v>0</v>
      </c>
      <c r="EE65" s="143">
        <f t="shared" si="411"/>
        <v>0</v>
      </c>
      <c r="EF65" s="143">
        <f t="shared" si="411"/>
        <v>0</v>
      </c>
      <c r="EG65" s="143">
        <f t="shared" si="411"/>
        <v>0</v>
      </c>
      <c r="EH65" s="143">
        <f t="shared" si="411"/>
        <v>0</v>
      </c>
      <c r="EI65" s="143">
        <f t="shared" si="411"/>
        <v>0</v>
      </c>
      <c r="EJ65" s="143">
        <f t="shared" si="411"/>
        <v>0</v>
      </c>
      <c r="EK65" s="143">
        <f t="shared" si="411"/>
        <v>0</v>
      </c>
      <c r="EL65" s="143">
        <f t="shared" si="411"/>
        <v>0</v>
      </c>
    </row>
    <row r="66">
      <c r="A66" s="153" t="s">
        <v>122</v>
      </c>
      <c r="B66" s="132">
        <f t="shared" si="10"/>
        <v>0</v>
      </c>
      <c r="C66" s="148"/>
      <c r="D66" s="134">
        <f t="shared" si="11"/>
        <v>0</v>
      </c>
      <c r="E66" s="135">
        <f t="shared" si="12"/>
        <v>0</v>
      </c>
      <c r="F66" s="132">
        <f t="shared" si="13"/>
        <v>0</v>
      </c>
      <c r="G66" s="136">
        <f t="shared" si="14"/>
        <v>0</v>
      </c>
      <c r="H66" s="137">
        <v>100.0</v>
      </c>
      <c r="I66" s="138" t="str">
        <f t="shared" si="399"/>
        <v>Solvent Base</v>
      </c>
      <c r="J66" s="139">
        <f t="shared" si="15"/>
        <v>0</v>
      </c>
      <c r="K66" s="140">
        <f t="shared" si="16"/>
        <v>1565</v>
      </c>
      <c r="L66" s="139">
        <v>600.0</v>
      </c>
      <c r="M66" s="139">
        <v>2600.0</v>
      </c>
      <c r="N66" s="139">
        <v>4.0</v>
      </c>
      <c r="O66" s="141"/>
      <c r="P66" s="141"/>
      <c r="Q66" s="141"/>
      <c r="R66" s="141"/>
      <c r="S66" s="139">
        <v>1.0</v>
      </c>
      <c r="T66" s="139">
        <v>1.0</v>
      </c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39">
        <v>1.0</v>
      </c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2"/>
      <c r="BE66" s="143">
        <f t="shared" si="17"/>
        <v>0</v>
      </c>
      <c r="BF66" s="143">
        <f t="shared" si="18"/>
        <v>0</v>
      </c>
      <c r="BG66" s="143">
        <f t="shared" ref="BG66:BT66" si="412">$G66*N66*IF($H66&gt;50,18,36)+$F66*N66*IF($H66&gt;50,4,8)+$E66*N66</f>
        <v>0</v>
      </c>
      <c r="BH66" s="143">
        <f t="shared" si="412"/>
        <v>0</v>
      </c>
      <c r="BI66" s="143">
        <f t="shared" si="412"/>
        <v>0</v>
      </c>
      <c r="BJ66" s="143">
        <f t="shared" si="412"/>
        <v>0</v>
      </c>
      <c r="BK66" s="143">
        <f t="shared" si="412"/>
        <v>0</v>
      </c>
      <c r="BL66" s="143">
        <f t="shared" si="412"/>
        <v>0</v>
      </c>
      <c r="BM66" s="143">
        <f t="shared" si="412"/>
        <v>0</v>
      </c>
      <c r="BN66" s="143">
        <f t="shared" si="412"/>
        <v>0</v>
      </c>
      <c r="BO66" s="143">
        <f t="shared" si="412"/>
        <v>0</v>
      </c>
      <c r="BP66" s="143">
        <f t="shared" si="412"/>
        <v>0</v>
      </c>
      <c r="BQ66" s="143">
        <f t="shared" si="412"/>
        <v>0</v>
      </c>
      <c r="BR66" s="143">
        <f t="shared" si="412"/>
        <v>0</v>
      </c>
      <c r="BS66" s="143">
        <f t="shared" si="412"/>
        <v>0</v>
      </c>
      <c r="BT66" s="143">
        <f t="shared" si="412"/>
        <v>0</v>
      </c>
      <c r="BU66" s="143">
        <f t="shared" si="20"/>
        <v>0</v>
      </c>
      <c r="BV66" s="143">
        <f t="shared" si="21"/>
        <v>0</v>
      </c>
      <c r="BW66" s="143">
        <f t="shared" ref="BW66:BX66" si="413">$G66*AD66*IF($H66&gt;50,18,36)+$F66*AD66*IF($H66&gt;50,4,8)+$E66*AD66</f>
        <v>0</v>
      </c>
      <c r="BX66" s="143">
        <f t="shared" si="413"/>
        <v>0</v>
      </c>
      <c r="BY66" s="143">
        <f t="shared" si="23"/>
        <v>0</v>
      </c>
      <c r="BZ66" s="143">
        <f t="shared" si="24"/>
        <v>0</v>
      </c>
      <c r="CA66" s="143">
        <f t="shared" si="25"/>
        <v>0</v>
      </c>
      <c r="CB66" s="143">
        <f t="shared" si="26"/>
        <v>0</v>
      </c>
      <c r="CC66" s="143">
        <f t="shared" si="27"/>
        <v>0</v>
      </c>
      <c r="CD66" s="143">
        <f t="shared" si="28"/>
        <v>0</v>
      </c>
      <c r="CE66" s="143">
        <f t="shared" si="29"/>
        <v>0</v>
      </c>
      <c r="CF66" s="143">
        <f t="shared" si="30"/>
        <v>0</v>
      </c>
      <c r="CG66" s="143">
        <f t="shared" si="31"/>
        <v>0</v>
      </c>
      <c r="CH66" s="143">
        <f t="shared" si="32"/>
        <v>0</v>
      </c>
      <c r="CI66" s="143">
        <f t="shared" si="33"/>
        <v>0</v>
      </c>
      <c r="CJ66" s="143">
        <f t="shared" si="34"/>
        <v>0</v>
      </c>
      <c r="CK66" s="143">
        <f t="shared" ref="CK66:CV66" si="414">$G66*AR66*IF($H66&gt;50,18,36)+$F66*AR66*IF($H66&gt;50,4,8)+$E66*AR66</f>
        <v>0</v>
      </c>
      <c r="CL66" s="143">
        <f t="shared" si="414"/>
        <v>0</v>
      </c>
      <c r="CM66" s="143">
        <f t="shared" si="414"/>
        <v>0</v>
      </c>
      <c r="CN66" s="143">
        <f t="shared" si="414"/>
        <v>0</v>
      </c>
      <c r="CO66" s="143">
        <f t="shared" si="414"/>
        <v>0</v>
      </c>
      <c r="CP66" s="143">
        <f t="shared" si="414"/>
        <v>0</v>
      </c>
      <c r="CQ66" s="143">
        <f t="shared" si="414"/>
        <v>0</v>
      </c>
      <c r="CR66" s="143">
        <f t="shared" si="414"/>
        <v>0</v>
      </c>
      <c r="CS66" s="143">
        <f t="shared" si="414"/>
        <v>0</v>
      </c>
      <c r="CT66" s="143">
        <f t="shared" si="414"/>
        <v>0</v>
      </c>
      <c r="CU66" s="143">
        <f t="shared" si="414"/>
        <v>0</v>
      </c>
      <c r="CV66" s="143">
        <f t="shared" si="414"/>
        <v>0</v>
      </c>
      <c r="CW66" s="143"/>
      <c r="CX66" s="143">
        <f t="shared" ref="CX66:DJ66" si="415">O66*BH$2/($H66/50)^2</f>
        <v>0</v>
      </c>
      <c r="CY66" s="143">
        <f t="shared" si="415"/>
        <v>0</v>
      </c>
      <c r="CZ66" s="143">
        <f t="shared" si="415"/>
        <v>0</v>
      </c>
      <c r="DA66" s="143">
        <f t="shared" si="415"/>
        <v>0</v>
      </c>
      <c r="DB66" s="143">
        <f t="shared" si="415"/>
        <v>12.5</v>
      </c>
      <c r="DC66" s="143">
        <f t="shared" si="415"/>
        <v>15</v>
      </c>
      <c r="DD66" s="143">
        <f t="shared" si="415"/>
        <v>0</v>
      </c>
      <c r="DE66" s="143">
        <f t="shared" si="415"/>
        <v>0</v>
      </c>
      <c r="DF66" s="143">
        <f t="shared" si="415"/>
        <v>0</v>
      </c>
      <c r="DG66" s="143">
        <f t="shared" si="415"/>
        <v>0</v>
      </c>
      <c r="DH66" s="143">
        <f t="shared" si="415"/>
        <v>0</v>
      </c>
      <c r="DI66" s="143">
        <f t="shared" si="415"/>
        <v>0</v>
      </c>
      <c r="DJ66" s="143">
        <f t="shared" si="415"/>
        <v>0</v>
      </c>
      <c r="DK66" s="143">
        <f t="shared" si="37"/>
        <v>0</v>
      </c>
      <c r="DL66" s="143">
        <f t="shared" si="38"/>
        <v>0</v>
      </c>
      <c r="DM66" s="143">
        <f t="shared" ref="DM66:DN66" si="416">AD66*BW$2/($H66/50)^2</f>
        <v>0</v>
      </c>
      <c r="DN66" s="143">
        <f t="shared" si="416"/>
        <v>0</v>
      </c>
      <c r="DO66" s="143">
        <f t="shared" si="40"/>
        <v>0</v>
      </c>
      <c r="DP66" s="143">
        <f t="shared" si="41"/>
        <v>0</v>
      </c>
      <c r="DQ66" s="143">
        <f t="shared" si="42"/>
        <v>0</v>
      </c>
      <c r="DR66" s="143">
        <f t="shared" si="43"/>
        <v>0</v>
      </c>
      <c r="DS66" s="143">
        <f t="shared" si="44"/>
        <v>0</v>
      </c>
      <c r="DT66" s="143">
        <f t="shared" si="45"/>
        <v>0</v>
      </c>
      <c r="DU66" s="143">
        <f t="shared" si="46"/>
        <v>0</v>
      </c>
      <c r="DV66" s="143">
        <f t="shared" si="47"/>
        <v>0</v>
      </c>
      <c r="DW66" s="143">
        <f t="shared" si="48"/>
        <v>1500</v>
      </c>
      <c r="DX66" s="143">
        <f t="shared" si="49"/>
        <v>0</v>
      </c>
      <c r="DY66" s="143">
        <f t="shared" si="50"/>
        <v>0</v>
      </c>
      <c r="DZ66" s="143">
        <f t="shared" si="51"/>
        <v>0</v>
      </c>
      <c r="EA66" s="143">
        <f t="shared" ref="EA66:EL66" si="417">AR66*CK$2/($H66/50)^2</f>
        <v>0</v>
      </c>
      <c r="EB66" s="143">
        <f t="shared" si="417"/>
        <v>0</v>
      </c>
      <c r="EC66" s="143">
        <f t="shared" si="417"/>
        <v>0</v>
      </c>
      <c r="ED66" s="143">
        <f t="shared" si="417"/>
        <v>0</v>
      </c>
      <c r="EE66" s="143">
        <f t="shared" si="417"/>
        <v>0</v>
      </c>
      <c r="EF66" s="143">
        <f t="shared" si="417"/>
        <v>0</v>
      </c>
      <c r="EG66" s="143">
        <f t="shared" si="417"/>
        <v>0</v>
      </c>
      <c r="EH66" s="143">
        <f t="shared" si="417"/>
        <v>0</v>
      </c>
      <c r="EI66" s="143">
        <f t="shared" si="417"/>
        <v>0</v>
      </c>
      <c r="EJ66" s="143">
        <f t="shared" si="417"/>
        <v>0</v>
      </c>
      <c r="EK66" s="143">
        <f t="shared" si="417"/>
        <v>0</v>
      </c>
      <c r="EL66" s="143">
        <f t="shared" si="417"/>
        <v>0</v>
      </c>
    </row>
    <row r="67">
      <c r="A67" s="153" t="s">
        <v>123</v>
      </c>
      <c r="B67" s="132">
        <f t="shared" si="10"/>
        <v>0</v>
      </c>
      <c r="C67" s="148"/>
      <c r="D67" s="134">
        <f t="shared" si="11"/>
        <v>0</v>
      </c>
      <c r="E67" s="135">
        <f t="shared" si="12"/>
        <v>0</v>
      </c>
      <c r="F67" s="132">
        <f t="shared" si="13"/>
        <v>0</v>
      </c>
      <c r="G67" s="136">
        <f t="shared" si="14"/>
        <v>0</v>
      </c>
      <c r="H67" s="137">
        <v>100.0</v>
      </c>
      <c r="I67" s="138" t="str">
        <f t="shared" si="399"/>
        <v>Solvent Base</v>
      </c>
      <c r="J67" s="139">
        <f t="shared" si="15"/>
        <v>0</v>
      </c>
      <c r="K67" s="140">
        <f t="shared" si="16"/>
        <v>150</v>
      </c>
      <c r="L67" s="139">
        <v>400.0</v>
      </c>
      <c r="M67" s="139">
        <v>1200.0</v>
      </c>
      <c r="N67" s="139">
        <v>3.0</v>
      </c>
      <c r="O67" s="141"/>
      <c r="P67" s="141"/>
      <c r="Q67" s="141"/>
      <c r="R67" s="141"/>
      <c r="S67" s="139">
        <v>1.0</v>
      </c>
      <c r="T67" s="141"/>
      <c r="U67" s="141"/>
      <c r="V67" s="141"/>
      <c r="W67" s="141"/>
      <c r="X67" s="141"/>
      <c r="Y67" s="141"/>
      <c r="Z67" s="141"/>
      <c r="AA67" s="139"/>
      <c r="AB67" s="141"/>
      <c r="AC67" s="141"/>
      <c r="AD67" s="141"/>
      <c r="AE67" s="141"/>
      <c r="AF67" s="141"/>
      <c r="AG67" s="141"/>
      <c r="AH67" s="141"/>
      <c r="AI67" s="141"/>
      <c r="AJ67" s="139">
        <v>1.0</v>
      </c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2"/>
      <c r="BE67" s="143">
        <f t="shared" si="17"/>
        <v>0</v>
      </c>
      <c r="BF67" s="143">
        <f t="shared" si="18"/>
        <v>0</v>
      </c>
      <c r="BG67" s="143">
        <f t="shared" ref="BG67:BT67" si="418">$G67*N67*IF($H67&gt;50,18,36)+$F67*N67*IF($H67&gt;50,4,8)+$E67*N67</f>
        <v>0</v>
      </c>
      <c r="BH67" s="143">
        <f t="shared" si="418"/>
        <v>0</v>
      </c>
      <c r="BI67" s="143">
        <f t="shared" si="418"/>
        <v>0</v>
      </c>
      <c r="BJ67" s="143">
        <f t="shared" si="418"/>
        <v>0</v>
      </c>
      <c r="BK67" s="143">
        <f t="shared" si="418"/>
        <v>0</v>
      </c>
      <c r="BL67" s="143">
        <f t="shared" si="418"/>
        <v>0</v>
      </c>
      <c r="BM67" s="143">
        <f t="shared" si="418"/>
        <v>0</v>
      </c>
      <c r="BN67" s="143">
        <f t="shared" si="418"/>
        <v>0</v>
      </c>
      <c r="BO67" s="143">
        <f t="shared" si="418"/>
        <v>0</v>
      </c>
      <c r="BP67" s="143">
        <f t="shared" si="418"/>
        <v>0</v>
      </c>
      <c r="BQ67" s="143">
        <f t="shared" si="418"/>
        <v>0</v>
      </c>
      <c r="BR67" s="143">
        <f t="shared" si="418"/>
        <v>0</v>
      </c>
      <c r="BS67" s="143">
        <f t="shared" si="418"/>
        <v>0</v>
      </c>
      <c r="BT67" s="143">
        <f t="shared" si="418"/>
        <v>0</v>
      </c>
      <c r="BU67" s="143">
        <f t="shared" si="20"/>
        <v>0</v>
      </c>
      <c r="BV67" s="143">
        <f t="shared" si="21"/>
        <v>0</v>
      </c>
      <c r="BW67" s="143">
        <f t="shared" ref="BW67:BX67" si="419">$G67*AD67*IF($H67&gt;50,18,36)+$F67*AD67*IF($H67&gt;50,4,8)+$E67*AD67</f>
        <v>0</v>
      </c>
      <c r="BX67" s="143">
        <f t="shared" si="419"/>
        <v>0</v>
      </c>
      <c r="BY67" s="143">
        <f t="shared" si="23"/>
        <v>0</v>
      </c>
      <c r="BZ67" s="143">
        <f t="shared" si="24"/>
        <v>0</v>
      </c>
      <c r="CA67" s="143">
        <f t="shared" si="25"/>
        <v>0</v>
      </c>
      <c r="CB67" s="143">
        <f t="shared" si="26"/>
        <v>0</v>
      </c>
      <c r="CC67" s="143">
        <f t="shared" si="27"/>
        <v>0</v>
      </c>
      <c r="CD67" s="143">
        <f t="shared" si="28"/>
        <v>0</v>
      </c>
      <c r="CE67" s="143">
        <f t="shared" si="29"/>
        <v>0</v>
      </c>
      <c r="CF67" s="143">
        <f t="shared" si="30"/>
        <v>0</v>
      </c>
      <c r="CG67" s="143">
        <f t="shared" si="31"/>
        <v>0</v>
      </c>
      <c r="CH67" s="143">
        <f t="shared" si="32"/>
        <v>0</v>
      </c>
      <c r="CI67" s="143">
        <f t="shared" si="33"/>
        <v>0</v>
      </c>
      <c r="CJ67" s="143">
        <f t="shared" si="34"/>
        <v>0</v>
      </c>
      <c r="CK67" s="143">
        <f t="shared" ref="CK67:CV67" si="420">$G67*AR67*IF($H67&gt;50,18,36)+$F67*AR67*IF($H67&gt;50,4,8)+$E67*AR67</f>
        <v>0</v>
      </c>
      <c r="CL67" s="143">
        <f t="shared" si="420"/>
        <v>0</v>
      </c>
      <c r="CM67" s="143">
        <f t="shared" si="420"/>
        <v>0</v>
      </c>
      <c r="CN67" s="143">
        <f t="shared" si="420"/>
        <v>0</v>
      </c>
      <c r="CO67" s="143">
        <f t="shared" si="420"/>
        <v>0</v>
      </c>
      <c r="CP67" s="143">
        <f t="shared" si="420"/>
        <v>0</v>
      </c>
      <c r="CQ67" s="143">
        <f t="shared" si="420"/>
        <v>0</v>
      </c>
      <c r="CR67" s="143">
        <f t="shared" si="420"/>
        <v>0</v>
      </c>
      <c r="CS67" s="143">
        <f t="shared" si="420"/>
        <v>0</v>
      </c>
      <c r="CT67" s="143">
        <f t="shared" si="420"/>
        <v>0</v>
      </c>
      <c r="CU67" s="143">
        <f t="shared" si="420"/>
        <v>0</v>
      </c>
      <c r="CV67" s="143">
        <f t="shared" si="420"/>
        <v>0</v>
      </c>
      <c r="CW67" s="143"/>
      <c r="CX67" s="143">
        <f t="shared" ref="CX67:DJ67" si="421">O67*BH$2/($H67/50)^2</f>
        <v>0</v>
      </c>
      <c r="CY67" s="143">
        <f t="shared" si="421"/>
        <v>0</v>
      </c>
      <c r="CZ67" s="143">
        <f t="shared" si="421"/>
        <v>0</v>
      </c>
      <c r="DA67" s="143">
        <f t="shared" si="421"/>
        <v>0</v>
      </c>
      <c r="DB67" s="143">
        <f t="shared" si="421"/>
        <v>12.5</v>
      </c>
      <c r="DC67" s="143">
        <f t="shared" si="421"/>
        <v>0</v>
      </c>
      <c r="DD67" s="143">
        <f t="shared" si="421"/>
        <v>0</v>
      </c>
      <c r="DE67" s="143">
        <f t="shared" si="421"/>
        <v>0</v>
      </c>
      <c r="DF67" s="143">
        <f t="shared" si="421"/>
        <v>0</v>
      </c>
      <c r="DG67" s="143">
        <f t="shared" si="421"/>
        <v>0</v>
      </c>
      <c r="DH67" s="143">
        <f t="shared" si="421"/>
        <v>0</v>
      </c>
      <c r="DI67" s="143">
        <f t="shared" si="421"/>
        <v>0</v>
      </c>
      <c r="DJ67" s="143">
        <f t="shared" si="421"/>
        <v>0</v>
      </c>
      <c r="DK67" s="143">
        <f t="shared" si="37"/>
        <v>0</v>
      </c>
      <c r="DL67" s="143">
        <f t="shared" si="38"/>
        <v>0</v>
      </c>
      <c r="DM67" s="143">
        <f t="shared" ref="DM67:DN67" si="422">AD67*BW$2/($H67/50)^2</f>
        <v>0</v>
      </c>
      <c r="DN67" s="143">
        <f t="shared" si="422"/>
        <v>0</v>
      </c>
      <c r="DO67" s="143">
        <f t="shared" si="40"/>
        <v>0</v>
      </c>
      <c r="DP67" s="143">
        <f t="shared" si="41"/>
        <v>0</v>
      </c>
      <c r="DQ67" s="143">
        <f t="shared" si="42"/>
        <v>0</v>
      </c>
      <c r="DR67" s="143">
        <f t="shared" si="43"/>
        <v>0</v>
      </c>
      <c r="DS67" s="143">
        <f t="shared" si="44"/>
        <v>100</v>
      </c>
      <c r="DT67" s="143">
        <f t="shared" si="45"/>
        <v>0</v>
      </c>
      <c r="DU67" s="143">
        <f t="shared" si="46"/>
        <v>0</v>
      </c>
      <c r="DV67" s="143">
        <f t="shared" si="47"/>
        <v>0</v>
      </c>
      <c r="DW67" s="143">
        <f t="shared" si="48"/>
        <v>0</v>
      </c>
      <c r="DX67" s="143">
        <f t="shared" si="49"/>
        <v>0</v>
      </c>
      <c r="DY67" s="143">
        <f t="shared" si="50"/>
        <v>0</v>
      </c>
      <c r="DZ67" s="143">
        <f t="shared" si="51"/>
        <v>0</v>
      </c>
      <c r="EA67" s="143">
        <f t="shared" ref="EA67:EL67" si="423">AR67*CK$2/($H67/50)^2</f>
        <v>0</v>
      </c>
      <c r="EB67" s="143">
        <f t="shared" si="423"/>
        <v>0</v>
      </c>
      <c r="EC67" s="143">
        <f t="shared" si="423"/>
        <v>0</v>
      </c>
      <c r="ED67" s="143">
        <f t="shared" si="423"/>
        <v>0</v>
      </c>
      <c r="EE67" s="143">
        <f t="shared" si="423"/>
        <v>0</v>
      </c>
      <c r="EF67" s="143">
        <f t="shared" si="423"/>
        <v>0</v>
      </c>
      <c r="EG67" s="143">
        <f t="shared" si="423"/>
        <v>0</v>
      </c>
      <c r="EH67" s="143">
        <f t="shared" si="423"/>
        <v>0</v>
      </c>
      <c r="EI67" s="143">
        <f t="shared" si="423"/>
        <v>0</v>
      </c>
      <c r="EJ67" s="143">
        <f t="shared" si="423"/>
        <v>0</v>
      </c>
      <c r="EK67" s="143">
        <f t="shared" si="423"/>
        <v>0</v>
      </c>
      <c r="EL67" s="143">
        <f t="shared" si="423"/>
        <v>0</v>
      </c>
    </row>
    <row r="68">
      <c r="A68" s="153" t="s">
        <v>124</v>
      </c>
      <c r="B68" s="132">
        <f t="shared" si="10"/>
        <v>0</v>
      </c>
      <c r="C68" s="148"/>
      <c r="D68" s="134">
        <f t="shared" si="11"/>
        <v>0</v>
      </c>
      <c r="E68" s="135">
        <f t="shared" si="12"/>
        <v>0</v>
      </c>
      <c r="F68" s="132">
        <f t="shared" si="13"/>
        <v>0</v>
      </c>
      <c r="G68" s="136">
        <f t="shared" si="14"/>
        <v>0</v>
      </c>
      <c r="H68" s="137">
        <v>100.0</v>
      </c>
      <c r="I68" s="138" t="str">
        <f t="shared" si="399"/>
        <v>Solvent Base</v>
      </c>
      <c r="J68" s="139">
        <f t="shared" si="15"/>
        <v>0</v>
      </c>
      <c r="K68" s="140">
        <f t="shared" si="16"/>
        <v>1565</v>
      </c>
      <c r="L68" s="139">
        <v>600.0</v>
      </c>
      <c r="M68" s="139">
        <v>2600.0</v>
      </c>
      <c r="N68" s="139">
        <v>4.0</v>
      </c>
      <c r="O68" s="141"/>
      <c r="P68" s="141"/>
      <c r="Q68" s="141"/>
      <c r="R68" s="141"/>
      <c r="S68" s="139">
        <v>1.0</v>
      </c>
      <c r="T68" s="139">
        <v>1.0</v>
      </c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39">
        <v>1.0</v>
      </c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2"/>
      <c r="BE68" s="143">
        <f t="shared" si="17"/>
        <v>0</v>
      </c>
      <c r="BF68" s="143">
        <f t="shared" si="18"/>
        <v>0</v>
      </c>
      <c r="BG68" s="143">
        <f t="shared" ref="BG68:BT68" si="424">$G68*N68*IF($H68&gt;50,18,36)+$F68*N68*IF($H68&gt;50,4,8)+$E68*N68</f>
        <v>0</v>
      </c>
      <c r="BH68" s="143">
        <f t="shared" si="424"/>
        <v>0</v>
      </c>
      <c r="BI68" s="143">
        <f t="shared" si="424"/>
        <v>0</v>
      </c>
      <c r="BJ68" s="143">
        <f t="shared" si="424"/>
        <v>0</v>
      </c>
      <c r="BK68" s="143">
        <f t="shared" si="424"/>
        <v>0</v>
      </c>
      <c r="BL68" s="143">
        <f t="shared" si="424"/>
        <v>0</v>
      </c>
      <c r="BM68" s="143">
        <f t="shared" si="424"/>
        <v>0</v>
      </c>
      <c r="BN68" s="143">
        <f t="shared" si="424"/>
        <v>0</v>
      </c>
      <c r="BO68" s="143">
        <f t="shared" si="424"/>
        <v>0</v>
      </c>
      <c r="BP68" s="143">
        <f t="shared" si="424"/>
        <v>0</v>
      </c>
      <c r="BQ68" s="143">
        <f t="shared" si="424"/>
        <v>0</v>
      </c>
      <c r="BR68" s="143">
        <f t="shared" si="424"/>
        <v>0</v>
      </c>
      <c r="BS68" s="143">
        <f t="shared" si="424"/>
        <v>0</v>
      </c>
      <c r="BT68" s="143">
        <f t="shared" si="424"/>
        <v>0</v>
      </c>
      <c r="BU68" s="143">
        <f t="shared" si="20"/>
        <v>0</v>
      </c>
      <c r="BV68" s="143">
        <f t="shared" si="21"/>
        <v>0</v>
      </c>
      <c r="BW68" s="143">
        <f t="shared" ref="BW68:BX68" si="425">$G68*AD68*IF($H68&gt;50,18,36)+$F68*AD68*IF($H68&gt;50,4,8)+$E68*AD68</f>
        <v>0</v>
      </c>
      <c r="BX68" s="143">
        <f t="shared" si="425"/>
        <v>0</v>
      </c>
      <c r="BY68" s="143">
        <f t="shared" si="23"/>
        <v>0</v>
      </c>
      <c r="BZ68" s="143">
        <f t="shared" si="24"/>
        <v>0</v>
      </c>
      <c r="CA68" s="143">
        <f t="shared" si="25"/>
        <v>0</v>
      </c>
      <c r="CB68" s="143">
        <f t="shared" si="26"/>
        <v>0</v>
      </c>
      <c r="CC68" s="143">
        <f t="shared" si="27"/>
        <v>0</v>
      </c>
      <c r="CD68" s="143">
        <f t="shared" si="28"/>
        <v>0</v>
      </c>
      <c r="CE68" s="143">
        <f t="shared" si="29"/>
        <v>0</v>
      </c>
      <c r="CF68" s="143">
        <f t="shared" si="30"/>
        <v>0</v>
      </c>
      <c r="CG68" s="143">
        <f t="shared" si="31"/>
        <v>0</v>
      </c>
      <c r="CH68" s="143">
        <f t="shared" si="32"/>
        <v>0</v>
      </c>
      <c r="CI68" s="143">
        <f t="shared" si="33"/>
        <v>0</v>
      </c>
      <c r="CJ68" s="143">
        <f t="shared" si="34"/>
        <v>0</v>
      </c>
      <c r="CK68" s="143">
        <f t="shared" ref="CK68:CV68" si="426">$G68*AR68*IF($H68&gt;50,18,36)+$F68*AR68*IF($H68&gt;50,4,8)+$E68*AR68</f>
        <v>0</v>
      </c>
      <c r="CL68" s="143">
        <f t="shared" si="426"/>
        <v>0</v>
      </c>
      <c r="CM68" s="143">
        <f t="shared" si="426"/>
        <v>0</v>
      </c>
      <c r="CN68" s="143">
        <f t="shared" si="426"/>
        <v>0</v>
      </c>
      <c r="CO68" s="143">
        <f t="shared" si="426"/>
        <v>0</v>
      </c>
      <c r="CP68" s="143">
        <f t="shared" si="426"/>
        <v>0</v>
      </c>
      <c r="CQ68" s="143">
        <f t="shared" si="426"/>
        <v>0</v>
      </c>
      <c r="CR68" s="143">
        <f t="shared" si="426"/>
        <v>0</v>
      </c>
      <c r="CS68" s="143">
        <f t="shared" si="426"/>
        <v>0</v>
      </c>
      <c r="CT68" s="143">
        <f t="shared" si="426"/>
        <v>0</v>
      </c>
      <c r="CU68" s="143">
        <f t="shared" si="426"/>
        <v>0</v>
      </c>
      <c r="CV68" s="143">
        <f t="shared" si="426"/>
        <v>0</v>
      </c>
      <c r="CW68" s="143"/>
      <c r="CX68" s="143">
        <f t="shared" ref="CX68:DJ68" si="427">O68*BH$2/($H68/50)^2</f>
        <v>0</v>
      </c>
      <c r="CY68" s="143">
        <f t="shared" si="427"/>
        <v>0</v>
      </c>
      <c r="CZ68" s="143">
        <f t="shared" si="427"/>
        <v>0</v>
      </c>
      <c r="DA68" s="143">
        <f t="shared" si="427"/>
        <v>0</v>
      </c>
      <c r="DB68" s="143">
        <f t="shared" si="427"/>
        <v>12.5</v>
      </c>
      <c r="DC68" s="143">
        <f t="shared" si="427"/>
        <v>15</v>
      </c>
      <c r="DD68" s="143">
        <f t="shared" si="427"/>
        <v>0</v>
      </c>
      <c r="DE68" s="143">
        <f t="shared" si="427"/>
        <v>0</v>
      </c>
      <c r="DF68" s="143">
        <f t="shared" si="427"/>
        <v>0</v>
      </c>
      <c r="DG68" s="143">
        <f t="shared" si="427"/>
        <v>0</v>
      </c>
      <c r="DH68" s="143">
        <f t="shared" si="427"/>
        <v>0</v>
      </c>
      <c r="DI68" s="143">
        <f t="shared" si="427"/>
        <v>0</v>
      </c>
      <c r="DJ68" s="143">
        <f t="shared" si="427"/>
        <v>0</v>
      </c>
      <c r="DK68" s="143">
        <f t="shared" si="37"/>
        <v>0</v>
      </c>
      <c r="DL68" s="143">
        <f t="shared" si="38"/>
        <v>0</v>
      </c>
      <c r="DM68" s="143">
        <f t="shared" ref="DM68:DN68" si="428">AD68*BW$2/($H68/50)^2</f>
        <v>0</v>
      </c>
      <c r="DN68" s="143">
        <f t="shared" si="428"/>
        <v>0</v>
      </c>
      <c r="DO68" s="143">
        <f t="shared" si="40"/>
        <v>0</v>
      </c>
      <c r="DP68" s="143">
        <f t="shared" si="41"/>
        <v>0</v>
      </c>
      <c r="DQ68" s="143">
        <f t="shared" si="42"/>
        <v>0</v>
      </c>
      <c r="DR68" s="143">
        <f t="shared" si="43"/>
        <v>0</v>
      </c>
      <c r="DS68" s="143">
        <f t="shared" si="44"/>
        <v>0</v>
      </c>
      <c r="DT68" s="143">
        <f t="shared" si="45"/>
        <v>0</v>
      </c>
      <c r="DU68" s="143">
        <f t="shared" si="46"/>
        <v>0</v>
      </c>
      <c r="DV68" s="143">
        <f t="shared" si="47"/>
        <v>0</v>
      </c>
      <c r="DW68" s="143">
        <f t="shared" si="48"/>
        <v>1500</v>
      </c>
      <c r="DX68" s="143">
        <f t="shared" si="49"/>
        <v>0</v>
      </c>
      <c r="DY68" s="143">
        <f t="shared" si="50"/>
        <v>0</v>
      </c>
      <c r="DZ68" s="143">
        <f t="shared" si="51"/>
        <v>0</v>
      </c>
      <c r="EA68" s="143">
        <f t="shared" ref="EA68:EL68" si="429">AR68*CK$2/($H68/50)^2</f>
        <v>0</v>
      </c>
      <c r="EB68" s="143">
        <f t="shared" si="429"/>
        <v>0</v>
      </c>
      <c r="EC68" s="143">
        <f t="shared" si="429"/>
        <v>0</v>
      </c>
      <c r="ED68" s="143">
        <f t="shared" si="429"/>
        <v>0</v>
      </c>
      <c r="EE68" s="143">
        <f t="shared" si="429"/>
        <v>0</v>
      </c>
      <c r="EF68" s="143">
        <f t="shared" si="429"/>
        <v>0</v>
      </c>
      <c r="EG68" s="143">
        <f t="shared" si="429"/>
        <v>0</v>
      </c>
      <c r="EH68" s="143">
        <f t="shared" si="429"/>
        <v>0</v>
      </c>
      <c r="EI68" s="143">
        <f t="shared" si="429"/>
        <v>0</v>
      </c>
      <c r="EJ68" s="143">
        <f t="shared" si="429"/>
        <v>0</v>
      </c>
      <c r="EK68" s="143">
        <f t="shared" si="429"/>
        <v>0</v>
      </c>
      <c r="EL68" s="143">
        <f t="shared" si="429"/>
        <v>0</v>
      </c>
    </row>
    <row r="69">
      <c r="A69" s="153" t="s">
        <v>125</v>
      </c>
      <c r="B69" s="132">
        <f t="shared" si="10"/>
        <v>0</v>
      </c>
      <c r="C69" s="144"/>
      <c r="D69" s="134">
        <f t="shared" si="11"/>
        <v>0</v>
      </c>
      <c r="E69" s="135">
        <f t="shared" si="12"/>
        <v>0</v>
      </c>
      <c r="F69" s="132">
        <f t="shared" si="13"/>
        <v>0</v>
      </c>
      <c r="G69" s="136">
        <f t="shared" si="14"/>
        <v>0</v>
      </c>
      <c r="H69" s="137">
        <v>100.0</v>
      </c>
      <c r="I69" s="138" t="str">
        <f t="shared" si="399"/>
        <v>Solvent Base</v>
      </c>
      <c r="J69" s="139">
        <f t="shared" si="15"/>
        <v>0</v>
      </c>
      <c r="K69" s="140">
        <f t="shared" si="16"/>
        <v>1565</v>
      </c>
      <c r="L69" s="139">
        <v>600.0</v>
      </c>
      <c r="M69" s="139">
        <v>2600.0</v>
      </c>
      <c r="N69" s="139">
        <v>4.0</v>
      </c>
      <c r="O69" s="141"/>
      <c r="P69" s="141"/>
      <c r="Q69" s="141"/>
      <c r="R69" s="141"/>
      <c r="S69" s="139">
        <v>1.0</v>
      </c>
      <c r="T69" s="139">
        <v>1.0</v>
      </c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39">
        <v>1.0</v>
      </c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2"/>
      <c r="BE69" s="143">
        <f t="shared" si="17"/>
        <v>0</v>
      </c>
      <c r="BF69" s="143">
        <f t="shared" si="18"/>
        <v>0</v>
      </c>
      <c r="BG69" s="143">
        <f t="shared" ref="BG69:BT69" si="430">$G69*N69*IF($H69&gt;50,18,36)+$F69*N69*IF($H69&gt;50,4,8)+$E69*N69</f>
        <v>0</v>
      </c>
      <c r="BH69" s="143">
        <f t="shared" si="430"/>
        <v>0</v>
      </c>
      <c r="BI69" s="143">
        <f t="shared" si="430"/>
        <v>0</v>
      </c>
      <c r="BJ69" s="143">
        <f t="shared" si="430"/>
        <v>0</v>
      </c>
      <c r="BK69" s="143">
        <f t="shared" si="430"/>
        <v>0</v>
      </c>
      <c r="BL69" s="143">
        <f t="shared" si="430"/>
        <v>0</v>
      </c>
      <c r="BM69" s="143">
        <f t="shared" si="430"/>
        <v>0</v>
      </c>
      <c r="BN69" s="143">
        <f t="shared" si="430"/>
        <v>0</v>
      </c>
      <c r="BO69" s="143">
        <f t="shared" si="430"/>
        <v>0</v>
      </c>
      <c r="BP69" s="143">
        <f t="shared" si="430"/>
        <v>0</v>
      </c>
      <c r="BQ69" s="143">
        <f t="shared" si="430"/>
        <v>0</v>
      </c>
      <c r="BR69" s="143">
        <f t="shared" si="430"/>
        <v>0</v>
      </c>
      <c r="BS69" s="143">
        <f t="shared" si="430"/>
        <v>0</v>
      </c>
      <c r="BT69" s="143">
        <f t="shared" si="430"/>
        <v>0</v>
      </c>
      <c r="BU69" s="143">
        <f t="shared" si="20"/>
        <v>0</v>
      </c>
      <c r="BV69" s="143">
        <f t="shared" si="21"/>
        <v>0</v>
      </c>
      <c r="BW69" s="143">
        <f t="shared" ref="BW69:BX69" si="431">$G69*AD69*IF($H69&gt;50,18,36)+$F69*AD69*IF($H69&gt;50,4,8)+$E69*AD69</f>
        <v>0</v>
      </c>
      <c r="BX69" s="143">
        <f t="shared" si="431"/>
        <v>0</v>
      </c>
      <c r="BY69" s="143">
        <f t="shared" si="23"/>
        <v>0</v>
      </c>
      <c r="BZ69" s="143">
        <f t="shared" si="24"/>
        <v>0</v>
      </c>
      <c r="CA69" s="143">
        <f t="shared" si="25"/>
        <v>0</v>
      </c>
      <c r="CB69" s="143">
        <f t="shared" si="26"/>
        <v>0</v>
      </c>
      <c r="CC69" s="143">
        <f t="shared" si="27"/>
        <v>0</v>
      </c>
      <c r="CD69" s="143">
        <f t="shared" si="28"/>
        <v>0</v>
      </c>
      <c r="CE69" s="143">
        <f t="shared" si="29"/>
        <v>0</v>
      </c>
      <c r="CF69" s="143">
        <f t="shared" si="30"/>
        <v>0</v>
      </c>
      <c r="CG69" s="143">
        <f t="shared" si="31"/>
        <v>0</v>
      </c>
      <c r="CH69" s="143">
        <f t="shared" si="32"/>
        <v>0</v>
      </c>
      <c r="CI69" s="143">
        <f t="shared" si="33"/>
        <v>0</v>
      </c>
      <c r="CJ69" s="143">
        <f t="shared" si="34"/>
        <v>0</v>
      </c>
      <c r="CK69" s="143">
        <f t="shared" ref="CK69:CV69" si="432">$G69*AR69*IF($H69&gt;50,18,36)+$F69*AR69*IF($H69&gt;50,4,8)+$E69*AR69</f>
        <v>0</v>
      </c>
      <c r="CL69" s="143">
        <f t="shared" si="432"/>
        <v>0</v>
      </c>
      <c r="CM69" s="143">
        <f t="shared" si="432"/>
        <v>0</v>
      </c>
      <c r="CN69" s="143">
        <f t="shared" si="432"/>
        <v>0</v>
      </c>
      <c r="CO69" s="143">
        <f t="shared" si="432"/>
        <v>0</v>
      </c>
      <c r="CP69" s="143">
        <f t="shared" si="432"/>
        <v>0</v>
      </c>
      <c r="CQ69" s="143">
        <f t="shared" si="432"/>
        <v>0</v>
      </c>
      <c r="CR69" s="143">
        <f t="shared" si="432"/>
        <v>0</v>
      </c>
      <c r="CS69" s="143">
        <f t="shared" si="432"/>
        <v>0</v>
      </c>
      <c r="CT69" s="143">
        <f t="shared" si="432"/>
        <v>0</v>
      </c>
      <c r="CU69" s="143">
        <f t="shared" si="432"/>
        <v>0</v>
      </c>
      <c r="CV69" s="143">
        <f t="shared" si="432"/>
        <v>0</v>
      </c>
      <c r="CW69" s="143"/>
      <c r="CX69" s="143">
        <f t="shared" ref="CX69:DJ69" si="433">O69*BH$2/($H69/50)^2</f>
        <v>0</v>
      </c>
      <c r="CY69" s="143">
        <f t="shared" si="433"/>
        <v>0</v>
      </c>
      <c r="CZ69" s="143">
        <f t="shared" si="433"/>
        <v>0</v>
      </c>
      <c r="DA69" s="143">
        <f t="shared" si="433"/>
        <v>0</v>
      </c>
      <c r="DB69" s="143">
        <f t="shared" si="433"/>
        <v>12.5</v>
      </c>
      <c r="DC69" s="143">
        <f t="shared" si="433"/>
        <v>15</v>
      </c>
      <c r="DD69" s="143">
        <f t="shared" si="433"/>
        <v>0</v>
      </c>
      <c r="DE69" s="143">
        <f t="shared" si="433"/>
        <v>0</v>
      </c>
      <c r="DF69" s="143">
        <f t="shared" si="433"/>
        <v>0</v>
      </c>
      <c r="DG69" s="143">
        <f t="shared" si="433"/>
        <v>0</v>
      </c>
      <c r="DH69" s="143">
        <f t="shared" si="433"/>
        <v>0</v>
      </c>
      <c r="DI69" s="143">
        <f t="shared" si="433"/>
        <v>0</v>
      </c>
      <c r="DJ69" s="143">
        <f t="shared" si="433"/>
        <v>0</v>
      </c>
      <c r="DK69" s="143">
        <f t="shared" si="37"/>
        <v>0</v>
      </c>
      <c r="DL69" s="143">
        <f t="shared" si="38"/>
        <v>0</v>
      </c>
      <c r="DM69" s="143">
        <f t="shared" ref="DM69:DN69" si="434">AD69*BW$2/($H69/50)^2</f>
        <v>0</v>
      </c>
      <c r="DN69" s="143">
        <f t="shared" si="434"/>
        <v>0</v>
      </c>
      <c r="DO69" s="143">
        <f t="shared" si="40"/>
        <v>0</v>
      </c>
      <c r="DP69" s="143">
        <f t="shared" si="41"/>
        <v>0</v>
      </c>
      <c r="DQ69" s="143">
        <f t="shared" si="42"/>
        <v>0</v>
      </c>
      <c r="DR69" s="143">
        <f t="shared" si="43"/>
        <v>0</v>
      </c>
      <c r="DS69" s="143">
        <f t="shared" si="44"/>
        <v>0</v>
      </c>
      <c r="DT69" s="143">
        <f t="shared" si="45"/>
        <v>0</v>
      </c>
      <c r="DU69" s="143">
        <f t="shared" si="46"/>
        <v>0</v>
      </c>
      <c r="DV69" s="143">
        <f t="shared" si="47"/>
        <v>0</v>
      </c>
      <c r="DW69" s="143">
        <f t="shared" si="48"/>
        <v>1500</v>
      </c>
      <c r="DX69" s="143">
        <f t="shared" si="49"/>
        <v>0</v>
      </c>
      <c r="DY69" s="143">
        <f t="shared" si="50"/>
        <v>0</v>
      </c>
      <c r="DZ69" s="143">
        <f t="shared" si="51"/>
        <v>0</v>
      </c>
      <c r="EA69" s="143">
        <f t="shared" ref="EA69:EL69" si="435">AR69*CK$2/($H69/50)^2</f>
        <v>0</v>
      </c>
      <c r="EB69" s="143">
        <f t="shared" si="435"/>
        <v>0</v>
      </c>
      <c r="EC69" s="143">
        <f t="shared" si="435"/>
        <v>0</v>
      </c>
      <c r="ED69" s="143">
        <f t="shared" si="435"/>
        <v>0</v>
      </c>
      <c r="EE69" s="143">
        <f t="shared" si="435"/>
        <v>0</v>
      </c>
      <c r="EF69" s="143">
        <f t="shared" si="435"/>
        <v>0</v>
      </c>
      <c r="EG69" s="143">
        <f t="shared" si="435"/>
        <v>0</v>
      </c>
      <c r="EH69" s="143">
        <f t="shared" si="435"/>
        <v>0</v>
      </c>
      <c r="EI69" s="143">
        <f t="shared" si="435"/>
        <v>0</v>
      </c>
      <c r="EJ69" s="143">
        <f t="shared" si="435"/>
        <v>0</v>
      </c>
      <c r="EK69" s="143">
        <f t="shared" si="435"/>
        <v>0</v>
      </c>
      <c r="EL69" s="143">
        <f t="shared" si="435"/>
        <v>0</v>
      </c>
    </row>
    <row r="70">
      <c r="A70" s="153" t="s">
        <v>126</v>
      </c>
      <c r="B70" s="132">
        <f t="shared" si="10"/>
        <v>0</v>
      </c>
      <c r="C70" s="148"/>
      <c r="D70" s="134">
        <f t="shared" si="11"/>
        <v>0</v>
      </c>
      <c r="E70" s="135">
        <f t="shared" si="12"/>
        <v>0</v>
      </c>
      <c r="F70" s="132">
        <f t="shared" si="13"/>
        <v>0</v>
      </c>
      <c r="G70" s="136">
        <f t="shared" si="14"/>
        <v>0</v>
      </c>
      <c r="H70" s="137">
        <v>100.0</v>
      </c>
      <c r="I70" s="138" t="str">
        <f t="shared" si="399"/>
        <v>Solvent Base</v>
      </c>
      <c r="J70" s="139">
        <f t="shared" si="15"/>
        <v>0</v>
      </c>
      <c r="K70" s="140">
        <f t="shared" si="16"/>
        <v>150</v>
      </c>
      <c r="L70" s="139">
        <v>200.0</v>
      </c>
      <c r="M70" s="139" t="s">
        <v>61</v>
      </c>
      <c r="N70" s="139">
        <v>2.0</v>
      </c>
      <c r="O70" s="141"/>
      <c r="P70" s="141"/>
      <c r="Q70" s="141"/>
      <c r="R70" s="141"/>
      <c r="S70" s="139">
        <v>1.0</v>
      </c>
      <c r="T70" s="141"/>
      <c r="U70" s="141"/>
      <c r="V70" s="141"/>
      <c r="W70" s="141"/>
      <c r="X70" s="141"/>
      <c r="Y70" s="141"/>
      <c r="Z70" s="141"/>
      <c r="AA70" s="139"/>
      <c r="AB70" s="141"/>
      <c r="AC70" s="141"/>
      <c r="AD70" s="141"/>
      <c r="AE70" s="141"/>
      <c r="AF70" s="141"/>
      <c r="AG70" s="141"/>
      <c r="AH70" s="141"/>
      <c r="AI70" s="141"/>
      <c r="AJ70" s="139">
        <v>1.0</v>
      </c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2"/>
      <c r="BE70" s="143">
        <f t="shared" si="17"/>
        <v>0</v>
      </c>
      <c r="BF70" s="143">
        <f t="shared" si="18"/>
        <v>0</v>
      </c>
      <c r="BG70" s="143">
        <f t="shared" ref="BG70:BT70" si="436">$G70*N70*IF($H70&gt;50,18,36)+$F70*N70*IF($H70&gt;50,4,8)+$E70*N70</f>
        <v>0</v>
      </c>
      <c r="BH70" s="143">
        <f t="shared" si="436"/>
        <v>0</v>
      </c>
      <c r="BI70" s="143">
        <f t="shared" si="436"/>
        <v>0</v>
      </c>
      <c r="BJ70" s="143">
        <f t="shared" si="436"/>
        <v>0</v>
      </c>
      <c r="BK70" s="143">
        <f t="shared" si="436"/>
        <v>0</v>
      </c>
      <c r="BL70" s="143">
        <f t="shared" si="436"/>
        <v>0</v>
      </c>
      <c r="BM70" s="143">
        <f t="shared" si="436"/>
        <v>0</v>
      </c>
      <c r="BN70" s="143">
        <f t="shared" si="436"/>
        <v>0</v>
      </c>
      <c r="BO70" s="143">
        <f t="shared" si="436"/>
        <v>0</v>
      </c>
      <c r="BP70" s="143">
        <f t="shared" si="436"/>
        <v>0</v>
      </c>
      <c r="BQ70" s="143">
        <f t="shared" si="436"/>
        <v>0</v>
      </c>
      <c r="BR70" s="143">
        <f t="shared" si="436"/>
        <v>0</v>
      </c>
      <c r="BS70" s="143">
        <f t="shared" si="436"/>
        <v>0</v>
      </c>
      <c r="BT70" s="143">
        <f t="shared" si="436"/>
        <v>0</v>
      </c>
      <c r="BU70" s="143">
        <f t="shared" si="20"/>
        <v>0</v>
      </c>
      <c r="BV70" s="143">
        <f t="shared" si="21"/>
        <v>0</v>
      </c>
      <c r="BW70" s="143">
        <f t="shared" ref="BW70:BX70" si="437">$G70*AD70*IF($H70&gt;50,18,36)+$F70*AD70*IF($H70&gt;50,4,8)+$E70*AD70</f>
        <v>0</v>
      </c>
      <c r="BX70" s="143">
        <f t="shared" si="437"/>
        <v>0</v>
      </c>
      <c r="BY70" s="143">
        <f t="shared" si="23"/>
        <v>0</v>
      </c>
      <c r="BZ70" s="143">
        <f t="shared" si="24"/>
        <v>0</v>
      </c>
      <c r="CA70" s="143">
        <f t="shared" si="25"/>
        <v>0</v>
      </c>
      <c r="CB70" s="143">
        <f t="shared" si="26"/>
        <v>0</v>
      </c>
      <c r="CC70" s="143">
        <f t="shared" si="27"/>
        <v>0</v>
      </c>
      <c r="CD70" s="143">
        <f t="shared" si="28"/>
        <v>0</v>
      </c>
      <c r="CE70" s="143">
        <f t="shared" si="29"/>
        <v>0</v>
      </c>
      <c r="CF70" s="143">
        <f t="shared" si="30"/>
        <v>0</v>
      </c>
      <c r="CG70" s="143">
        <f t="shared" si="31"/>
        <v>0</v>
      </c>
      <c r="CH70" s="143">
        <f t="shared" si="32"/>
        <v>0</v>
      </c>
      <c r="CI70" s="143">
        <f t="shared" si="33"/>
        <v>0</v>
      </c>
      <c r="CJ70" s="143">
        <f t="shared" si="34"/>
        <v>0</v>
      </c>
      <c r="CK70" s="143">
        <f t="shared" ref="CK70:CV70" si="438">$G70*AR70*IF($H70&gt;50,18,36)+$F70*AR70*IF($H70&gt;50,4,8)+$E70*AR70</f>
        <v>0</v>
      </c>
      <c r="CL70" s="143">
        <f t="shared" si="438"/>
        <v>0</v>
      </c>
      <c r="CM70" s="143">
        <f t="shared" si="438"/>
        <v>0</v>
      </c>
      <c r="CN70" s="143">
        <f t="shared" si="438"/>
        <v>0</v>
      </c>
      <c r="CO70" s="143">
        <f t="shared" si="438"/>
        <v>0</v>
      </c>
      <c r="CP70" s="143">
        <f t="shared" si="438"/>
        <v>0</v>
      </c>
      <c r="CQ70" s="143">
        <f t="shared" si="438"/>
        <v>0</v>
      </c>
      <c r="CR70" s="143">
        <f t="shared" si="438"/>
        <v>0</v>
      </c>
      <c r="CS70" s="143">
        <f t="shared" si="438"/>
        <v>0</v>
      </c>
      <c r="CT70" s="143">
        <f t="shared" si="438"/>
        <v>0</v>
      </c>
      <c r="CU70" s="143">
        <f t="shared" si="438"/>
        <v>0</v>
      </c>
      <c r="CV70" s="143">
        <f t="shared" si="438"/>
        <v>0</v>
      </c>
      <c r="CW70" s="143"/>
      <c r="CX70" s="143">
        <f t="shared" ref="CX70:DJ70" si="439">O70*BH$2/($H70/50)^2</f>
        <v>0</v>
      </c>
      <c r="CY70" s="143">
        <f t="shared" si="439"/>
        <v>0</v>
      </c>
      <c r="CZ70" s="143">
        <f t="shared" si="439"/>
        <v>0</v>
      </c>
      <c r="DA70" s="143">
        <f t="shared" si="439"/>
        <v>0</v>
      </c>
      <c r="DB70" s="143">
        <f t="shared" si="439"/>
        <v>12.5</v>
      </c>
      <c r="DC70" s="143">
        <f t="shared" si="439"/>
        <v>0</v>
      </c>
      <c r="DD70" s="143">
        <f t="shared" si="439"/>
        <v>0</v>
      </c>
      <c r="DE70" s="143">
        <f t="shared" si="439"/>
        <v>0</v>
      </c>
      <c r="DF70" s="143">
        <f t="shared" si="439"/>
        <v>0</v>
      </c>
      <c r="DG70" s="143">
        <f t="shared" si="439"/>
        <v>0</v>
      </c>
      <c r="DH70" s="143">
        <f t="shared" si="439"/>
        <v>0</v>
      </c>
      <c r="DI70" s="143">
        <f t="shared" si="439"/>
        <v>0</v>
      </c>
      <c r="DJ70" s="143">
        <f t="shared" si="439"/>
        <v>0</v>
      </c>
      <c r="DK70" s="143">
        <f t="shared" si="37"/>
        <v>0</v>
      </c>
      <c r="DL70" s="143">
        <f t="shared" si="38"/>
        <v>0</v>
      </c>
      <c r="DM70" s="143">
        <f t="shared" ref="DM70:DN70" si="440">AD70*BW$2/($H70/50)^2</f>
        <v>0</v>
      </c>
      <c r="DN70" s="143">
        <f t="shared" si="440"/>
        <v>0</v>
      </c>
      <c r="DO70" s="143">
        <f t="shared" si="40"/>
        <v>0</v>
      </c>
      <c r="DP70" s="143">
        <f t="shared" si="41"/>
        <v>0</v>
      </c>
      <c r="DQ70" s="143">
        <f t="shared" si="42"/>
        <v>0</v>
      </c>
      <c r="DR70" s="143">
        <f t="shared" si="43"/>
        <v>0</v>
      </c>
      <c r="DS70" s="143">
        <f t="shared" si="44"/>
        <v>100</v>
      </c>
      <c r="DT70" s="143">
        <f t="shared" si="45"/>
        <v>0</v>
      </c>
      <c r="DU70" s="143">
        <f t="shared" si="46"/>
        <v>0</v>
      </c>
      <c r="DV70" s="143">
        <f t="shared" si="47"/>
        <v>0</v>
      </c>
      <c r="DW70" s="143">
        <f t="shared" si="48"/>
        <v>0</v>
      </c>
      <c r="DX70" s="143">
        <f t="shared" si="49"/>
        <v>0</v>
      </c>
      <c r="DY70" s="143">
        <f t="shared" si="50"/>
        <v>0</v>
      </c>
      <c r="DZ70" s="143">
        <f t="shared" si="51"/>
        <v>0</v>
      </c>
      <c r="EA70" s="143">
        <f t="shared" ref="EA70:EL70" si="441">AR70*CK$2/($H70/50)^2</f>
        <v>0</v>
      </c>
      <c r="EB70" s="143">
        <f t="shared" si="441"/>
        <v>0</v>
      </c>
      <c r="EC70" s="143">
        <f t="shared" si="441"/>
        <v>0</v>
      </c>
      <c r="ED70" s="143">
        <f t="shared" si="441"/>
        <v>0</v>
      </c>
      <c r="EE70" s="143">
        <f t="shared" si="441"/>
        <v>0</v>
      </c>
      <c r="EF70" s="143">
        <f t="shared" si="441"/>
        <v>0</v>
      </c>
      <c r="EG70" s="143">
        <f t="shared" si="441"/>
        <v>0</v>
      </c>
      <c r="EH70" s="143">
        <f t="shared" si="441"/>
        <v>0</v>
      </c>
      <c r="EI70" s="143">
        <f t="shared" si="441"/>
        <v>0</v>
      </c>
      <c r="EJ70" s="143">
        <f t="shared" si="441"/>
        <v>0</v>
      </c>
      <c r="EK70" s="143">
        <f t="shared" si="441"/>
        <v>0</v>
      </c>
      <c r="EL70" s="143">
        <f t="shared" si="441"/>
        <v>0</v>
      </c>
    </row>
    <row r="71">
      <c r="A71" s="153" t="s">
        <v>127</v>
      </c>
      <c r="B71" s="132">
        <f t="shared" si="10"/>
        <v>0</v>
      </c>
      <c r="C71" s="148"/>
      <c r="D71" s="134">
        <f t="shared" si="11"/>
        <v>0</v>
      </c>
      <c r="E71" s="135">
        <f t="shared" si="12"/>
        <v>0</v>
      </c>
      <c r="F71" s="132">
        <f t="shared" si="13"/>
        <v>0</v>
      </c>
      <c r="G71" s="136">
        <f t="shared" si="14"/>
        <v>0</v>
      </c>
      <c r="H71" s="137">
        <v>100.0</v>
      </c>
      <c r="I71" s="138" t="str">
        <f t="shared" si="399"/>
        <v>Solvent Base</v>
      </c>
      <c r="J71" s="139">
        <f t="shared" si="15"/>
        <v>0</v>
      </c>
      <c r="K71" s="140">
        <f t="shared" si="16"/>
        <v>150</v>
      </c>
      <c r="L71" s="139">
        <v>200.0</v>
      </c>
      <c r="M71" s="139" t="s">
        <v>61</v>
      </c>
      <c r="N71" s="139">
        <v>2.0</v>
      </c>
      <c r="O71" s="141"/>
      <c r="P71" s="141"/>
      <c r="Q71" s="141"/>
      <c r="R71" s="141"/>
      <c r="S71" s="139">
        <v>1.0</v>
      </c>
      <c r="T71" s="141"/>
      <c r="U71" s="141"/>
      <c r="V71" s="141"/>
      <c r="W71" s="141"/>
      <c r="X71" s="141"/>
      <c r="Y71" s="141"/>
      <c r="Z71" s="141"/>
      <c r="AA71" s="139"/>
      <c r="AB71" s="141"/>
      <c r="AC71" s="141"/>
      <c r="AD71" s="141"/>
      <c r="AE71" s="141"/>
      <c r="AF71" s="141"/>
      <c r="AG71" s="141"/>
      <c r="AH71" s="141"/>
      <c r="AI71" s="141"/>
      <c r="AJ71" s="139">
        <v>1.0</v>
      </c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2"/>
      <c r="BE71" s="143">
        <f t="shared" si="17"/>
        <v>0</v>
      </c>
      <c r="BF71" s="143">
        <f t="shared" si="18"/>
        <v>0</v>
      </c>
      <c r="BG71" s="143">
        <f t="shared" ref="BG71:BT71" si="442">$G71*N71*IF($H71&gt;50,18,36)+$F71*N71*IF($H71&gt;50,4,8)+$E71*N71</f>
        <v>0</v>
      </c>
      <c r="BH71" s="143">
        <f t="shared" si="442"/>
        <v>0</v>
      </c>
      <c r="BI71" s="143">
        <f t="shared" si="442"/>
        <v>0</v>
      </c>
      <c r="BJ71" s="143">
        <f t="shared" si="442"/>
        <v>0</v>
      </c>
      <c r="BK71" s="143">
        <f t="shared" si="442"/>
        <v>0</v>
      </c>
      <c r="BL71" s="143">
        <f t="shared" si="442"/>
        <v>0</v>
      </c>
      <c r="BM71" s="143">
        <f t="shared" si="442"/>
        <v>0</v>
      </c>
      <c r="BN71" s="143">
        <f t="shared" si="442"/>
        <v>0</v>
      </c>
      <c r="BO71" s="143">
        <f t="shared" si="442"/>
        <v>0</v>
      </c>
      <c r="BP71" s="143">
        <f t="shared" si="442"/>
        <v>0</v>
      </c>
      <c r="BQ71" s="143">
        <f t="shared" si="442"/>
        <v>0</v>
      </c>
      <c r="BR71" s="143">
        <f t="shared" si="442"/>
        <v>0</v>
      </c>
      <c r="BS71" s="143">
        <f t="shared" si="442"/>
        <v>0</v>
      </c>
      <c r="BT71" s="143">
        <f t="shared" si="442"/>
        <v>0</v>
      </c>
      <c r="BU71" s="143">
        <f t="shared" si="20"/>
        <v>0</v>
      </c>
      <c r="BV71" s="143">
        <f t="shared" si="21"/>
        <v>0</v>
      </c>
      <c r="BW71" s="143">
        <f t="shared" ref="BW71:BX71" si="443">$G71*AD71*IF($H71&gt;50,18,36)+$F71*AD71*IF($H71&gt;50,4,8)+$E71*AD71</f>
        <v>0</v>
      </c>
      <c r="BX71" s="143">
        <f t="shared" si="443"/>
        <v>0</v>
      </c>
      <c r="BY71" s="143">
        <f t="shared" si="23"/>
        <v>0</v>
      </c>
      <c r="BZ71" s="143">
        <f t="shared" si="24"/>
        <v>0</v>
      </c>
      <c r="CA71" s="143">
        <f t="shared" si="25"/>
        <v>0</v>
      </c>
      <c r="CB71" s="143">
        <f t="shared" si="26"/>
        <v>0</v>
      </c>
      <c r="CC71" s="143">
        <f t="shared" si="27"/>
        <v>0</v>
      </c>
      <c r="CD71" s="143">
        <f t="shared" si="28"/>
        <v>0</v>
      </c>
      <c r="CE71" s="143">
        <f t="shared" si="29"/>
        <v>0</v>
      </c>
      <c r="CF71" s="143">
        <f t="shared" si="30"/>
        <v>0</v>
      </c>
      <c r="CG71" s="143">
        <f t="shared" si="31"/>
        <v>0</v>
      </c>
      <c r="CH71" s="143">
        <f t="shared" si="32"/>
        <v>0</v>
      </c>
      <c r="CI71" s="143">
        <f t="shared" si="33"/>
        <v>0</v>
      </c>
      <c r="CJ71" s="143">
        <f t="shared" si="34"/>
        <v>0</v>
      </c>
      <c r="CK71" s="143">
        <f t="shared" ref="CK71:CV71" si="444">$G71*AR71*IF($H71&gt;50,18,36)+$F71*AR71*IF($H71&gt;50,4,8)+$E71*AR71</f>
        <v>0</v>
      </c>
      <c r="CL71" s="143">
        <f t="shared" si="444"/>
        <v>0</v>
      </c>
      <c r="CM71" s="143">
        <f t="shared" si="444"/>
        <v>0</v>
      </c>
      <c r="CN71" s="143">
        <f t="shared" si="444"/>
        <v>0</v>
      </c>
      <c r="CO71" s="143">
        <f t="shared" si="444"/>
        <v>0</v>
      </c>
      <c r="CP71" s="143">
        <f t="shared" si="444"/>
        <v>0</v>
      </c>
      <c r="CQ71" s="143">
        <f t="shared" si="444"/>
        <v>0</v>
      </c>
      <c r="CR71" s="143">
        <f t="shared" si="444"/>
        <v>0</v>
      </c>
      <c r="CS71" s="143">
        <f t="shared" si="444"/>
        <v>0</v>
      </c>
      <c r="CT71" s="143">
        <f t="shared" si="444"/>
        <v>0</v>
      </c>
      <c r="CU71" s="143">
        <f t="shared" si="444"/>
        <v>0</v>
      </c>
      <c r="CV71" s="143">
        <f t="shared" si="444"/>
        <v>0</v>
      </c>
      <c r="CW71" s="143"/>
      <c r="CX71" s="143">
        <f t="shared" ref="CX71:DJ71" si="445">O71*BH$2/($H71/50)^2</f>
        <v>0</v>
      </c>
      <c r="CY71" s="143">
        <f t="shared" si="445"/>
        <v>0</v>
      </c>
      <c r="CZ71" s="143">
        <f t="shared" si="445"/>
        <v>0</v>
      </c>
      <c r="DA71" s="143">
        <f t="shared" si="445"/>
        <v>0</v>
      </c>
      <c r="DB71" s="143">
        <f t="shared" si="445"/>
        <v>12.5</v>
      </c>
      <c r="DC71" s="143">
        <f t="shared" si="445"/>
        <v>0</v>
      </c>
      <c r="DD71" s="143">
        <f t="shared" si="445"/>
        <v>0</v>
      </c>
      <c r="DE71" s="143">
        <f t="shared" si="445"/>
        <v>0</v>
      </c>
      <c r="DF71" s="143">
        <f t="shared" si="445"/>
        <v>0</v>
      </c>
      <c r="DG71" s="143">
        <f t="shared" si="445"/>
        <v>0</v>
      </c>
      <c r="DH71" s="143">
        <f t="shared" si="445"/>
        <v>0</v>
      </c>
      <c r="DI71" s="143">
        <f t="shared" si="445"/>
        <v>0</v>
      </c>
      <c r="DJ71" s="143">
        <f t="shared" si="445"/>
        <v>0</v>
      </c>
      <c r="DK71" s="143">
        <f t="shared" si="37"/>
        <v>0</v>
      </c>
      <c r="DL71" s="143">
        <f t="shared" si="38"/>
        <v>0</v>
      </c>
      <c r="DM71" s="143">
        <f t="shared" ref="DM71:DN71" si="446">AD71*BW$2/($H71/50)^2</f>
        <v>0</v>
      </c>
      <c r="DN71" s="143">
        <f t="shared" si="446"/>
        <v>0</v>
      </c>
      <c r="DO71" s="143">
        <f t="shared" si="40"/>
        <v>0</v>
      </c>
      <c r="DP71" s="143">
        <f t="shared" si="41"/>
        <v>0</v>
      </c>
      <c r="DQ71" s="143">
        <f t="shared" si="42"/>
        <v>0</v>
      </c>
      <c r="DR71" s="143">
        <f t="shared" si="43"/>
        <v>0</v>
      </c>
      <c r="DS71" s="143">
        <f t="shared" si="44"/>
        <v>100</v>
      </c>
      <c r="DT71" s="143">
        <f t="shared" si="45"/>
        <v>0</v>
      </c>
      <c r="DU71" s="143">
        <f t="shared" si="46"/>
        <v>0</v>
      </c>
      <c r="DV71" s="143">
        <f t="shared" si="47"/>
        <v>0</v>
      </c>
      <c r="DW71" s="143">
        <f t="shared" si="48"/>
        <v>0</v>
      </c>
      <c r="DX71" s="143">
        <f t="shared" si="49"/>
        <v>0</v>
      </c>
      <c r="DY71" s="143">
        <f t="shared" si="50"/>
        <v>0</v>
      </c>
      <c r="DZ71" s="143">
        <f t="shared" si="51"/>
        <v>0</v>
      </c>
      <c r="EA71" s="143">
        <f t="shared" ref="EA71:EL71" si="447">AR71*CK$2/($H71/50)^2</f>
        <v>0</v>
      </c>
      <c r="EB71" s="143">
        <f t="shared" si="447"/>
        <v>0</v>
      </c>
      <c r="EC71" s="143">
        <f t="shared" si="447"/>
        <v>0</v>
      </c>
      <c r="ED71" s="143">
        <f t="shared" si="447"/>
        <v>0</v>
      </c>
      <c r="EE71" s="143">
        <f t="shared" si="447"/>
        <v>0</v>
      </c>
      <c r="EF71" s="143">
        <f t="shared" si="447"/>
        <v>0</v>
      </c>
      <c r="EG71" s="143">
        <f t="shared" si="447"/>
        <v>0</v>
      </c>
      <c r="EH71" s="143">
        <f t="shared" si="447"/>
        <v>0</v>
      </c>
      <c r="EI71" s="143">
        <f t="shared" si="447"/>
        <v>0</v>
      </c>
      <c r="EJ71" s="143">
        <f t="shared" si="447"/>
        <v>0</v>
      </c>
      <c r="EK71" s="143">
        <f t="shared" si="447"/>
        <v>0</v>
      </c>
      <c r="EL71" s="143">
        <f t="shared" si="447"/>
        <v>0</v>
      </c>
    </row>
    <row r="72">
      <c r="A72" s="154" t="s">
        <v>128</v>
      </c>
      <c r="B72" s="132">
        <f t="shared" si="10"/>
        <v>0</v>
      </c>
      <c r="C72" s="146">
        <v>1.0</v>
      </c>
      <c r="D72" s="134">
        <f t="shared" si="11"/>
        <v>1</v>
      </c>
      <c r="E72" s="135">
        <f t="shared" si="12"/>
        <v>1</v>
      </c>
      <c r="F72" s="132">
        <f t="shared" si="13"/>
        <v>0</v>
      </c>
      <c r="G72" s="136">
        <f t="shared" si="14"/>
        <v>0</v>
      </c>
      <c r="H72" s="137">
        <v>100.0</v>
      </c>
      <c r="I72" s="137" t="str">
        <f t="shared" ref="I72:I75" si="454">$A$10</f>
        <v>Resin Base</v>
      </c>
      <c r="J72" s="139">
        <f t="shared" si="15"/>
        <v>14</v>
      </c>
      <c r="K72" s="140">
        <f t="shared" si="16"/>
        <v>14</v>
      </c>
      <c r="L72" s="139" t="s">
        <v>61</v>
      </c>
      <c r="M72" s="139" t="s">
        <v>61</v>
      </c>
      <c r="N72" s="139">
        <v>1.0</v>
      </c>
      <c r="O72" s="139"/>
      <c r="P72" s="141"/>
      <c r="Q72" s="141"/>
      <c r="R72" s="141"/>
      <c r="S72" s="141"/>
      <c r="T72" s="141"/>
      <c r="U72" s="141"/>
      <c r="V72" s="141"/>
      <c r="W72" s="139"/>
      <c r="X72" s="139"/>
      <c r="Y72" s="139"/>
      <c r="Z72" s="139"/>
      <c r="AA72" s="139"/>
      <c r="AB72" s="141"/>
      <c r="AC72" s="141"/>
      <c r="AD72" s="141"/>
      <c r="AE72" s="141"/>
      <c r="AF72" s="141"/>
      <c r="AG72" s="141"/>
      <c r="AH72" s="141"/>
      <c r="AI72" s="141"/>
      <c r="AJ72" s="139"/>
      <c r="AK72" s="139"/>
      <c r="AL72" s="139"/>
      <c r="AM72" s="139"/>
      <c r="AN72" s="139"/>
      <c r="AO72" s="141"/>
      <c r="AP72" s="141"/>
      <c r="AQ72" s="141"/>
      <c r="AR72" s="141"/>
      <c r="AS72" s="139">
        <v>1.0</v>
      </c>
      <c r="AT72" s="141"/>
      <c r="AU72" s="141"/>
      <c r="AV72" s="141"/>
      <c r="AW72" s="139"/>
      <c r="AX72" s="139"/>
      <c r="AY72" s="139"/>
      <c r="AZ72" s="139"/>
      <c r="BA72" s="139"/>
      <c r="BB72" s="141"/>
      <c r="BC72" s="139"/>
      <c r="BD72" s="142"/>
      <c r="BE72" s="143">
        <f t="shared" si="17"/>
        <v>0</v>
      </c>
      <c r="BF72" s="143" t="str">
        <f t="shared" si="18"/>
        <v>-</v>
      </c>
      <c r="BG72" s="143">
        <f t="shared" ref="BG72:BT72" si="448">$G72*N72*IF($H72&gt;50,18,36)+$F72*N72*IF($H72&gt;50,4,8)+$E72*N72</f>
        <v>1</v>
      </c>
      <c r="BH72" s="143">
        <f t="shared" si="448"/>
        <v>0</v>
      </c>
      <c r="BI72" s="143">
        <f t="shared" si="448"/>
        <v>0</v>
      </c>
      <c r="BJ72" s="143">
        <f t="shared" si="448"/>
        <v>0</v>
      </c>
      <c r="BK72" s="143">
        <f t="shared" si="448"/>
        <v>0</v>
      </c>
      <c r="BL72" s="143">
        <f t="shared" si="448"/>
        <v>0</v>
      </c>
      <c r="BM72" s="143">
        <f t="shared" si="448"/>
        <v>0</v>
      </c>
      <c r="BN72" s="143">
        <f t="shared" si="448"/>
        <v>0</v>
      </c>
      <c r="BO72" s="143">
        <f t="shared" si="448"/>
        <v>0</v>
      </c>
      <c r="BP72" s="143">
        <f t="shared" si="448"/>
        <v>0</v>
      </c>
      <c r="BQ72" s="143">
        <f t="shared" si="448"/>
        <v>0</v>
      </c>
      <c r="BR72" s="143">
        <f t="shared" si="448"/>
        <v>0</v>
      </c>
      <c r="BS72" s="143">
        <f t="shared" si="448"/>
        <v>0</v>
      </c>
      <c r="BT72" s="143">
        <f t="shared" si="448"/>
        <v>0</v>
      </c>
      <c r="BU72" s="143">
        <f t="shared" si="20"/>
        <v>0</v>
      </c>
      <c r="BV72" s="143">
        <f t="shared" si="21"/>
        <v>0</v>
      </c>
      <c r="BW72" s="143">
        <f t="shared" ref="BW72:BX72" si="449">$G72*AD72*IF($H72&gt;50,18,36)+$F72*AD72*IF($H72&gt;50,4,8)+$E72*AD72</f>
        <v>0</v>
      </c>
      <c r="BX72" s="143">
        <f t="shared" si="449"/>
        <v>0</v>
      </c>
      <c r="BY72" s="143">
        <f t="shared" si="23"/>
        <v>0</v>
      </c>
      <c r="BZ72" s="143">
        <f t="shared" si="24"/>
        <v>0</v>
      </c>
      <c r="CA72" s="143">
        <f t="shared" si="25"/>
        <v>0</v>
      </c>
      <c r="CB72" s="143">
        <f t="shared" si="26"/>
        <v>0</v>
      </c>
      <c r="CC72" s="143">
        <f t="shared" si="27"/>
        <v>0</v>
      </c>
      <c r="CD72" s="143">
        <f t="shared" si="28"/>
        <v>0</v>
      </c>
      <c r="CE72" s="143">
        <f t="shared" si="29"/>
        <v>0</v>
      </c>
      <c r="CF72" s="143">
        <f t="shared" si="30"/>
        <v>0</v>
      </c>
      <c r="CG72" s="143">
        <f t="shared" si="31"/>
        <v>0</v>
      </c>
      <c r="CH72" s="143">
        <f t="shared" si="32"/>
        <v>0</v>
      </c>
      <c r="CI72" s="143">
        <f t="shared" si="33"/>
        <v>0</v>
      </c>
      <c r="CJ72" s="143">
        <f t="shared" si="34"/>
        <v>0</v>
      </c>
      <c r="CK72" s="143">
        <f t="shared" ref="CK72:CV72" si="450">$G72*AR72*IF($H72&gt;50,18,36)+$F72*AR72*IF($H72&gt;50,4,8)+$E72*AR72</f>
        <v>0</v>
      </c>
      <c r="CL72" s="143">
        <f t="shared" si="450"/>
        <v>1</v>
      </c>
      <c r="CM72" s="143">
        <f t="shared" si="450"/>
        <v>0</v>
      </c>
      <c r="CN72" s="143">
        <f t="shared" si="450"/>
        <v>0</v>
      </c>
      <c r="CO72" s="143">
        <f t="shared" si="450"/>
        <v>0</v>
      </c>
      <c r="CP72" s="143">
        <f t="shared" si="450"/>
        <v>0</v>
      </c>
      <c r="CQ72" s="143">
        <f t="shared" si="450"/>
        <v>0</v>
      </c>
      <c r="CR72" s="143">
        <f t="shared" si="450"/>
        <v>0</v>
      </c>
      <c r="CS72" s="143">
        <f t="shared" si="450"/>
        <v>0</v>
      </c>
      <c r="CT72" s="143">
        <f t="shared" si="450"/>
        <v>0</v>
      </c>
      <c r="CU72" s="143">
        <f t="shared" si="450"/>
        <v>0</v>
      </c>
      <c r="CV72" s="143">
        <f t="shared" si="450"/>
        <v>0</v>
      </c>
      <c r="CW72" s="143"/>
      <c r="CX72" s="143">
        <f t="shared" ref="CX72:DJ72" si="451">O72*BH$2/($H72/50)^2</f>
        <v>0</v>
      </c>
      <c r="CY72" s="143">
        <f t="shared" si="451"/>
        <v>0</v>
      </c>
      <c r="CZ72" s="143">
        <f t="shared" si="451"/>
        <v>0</v>
      </c>
      <c r="DA72" s="143">
        <f t="shared" si="451"/>
        <v>0</v>
      </c>
      <c r="DB72" s="143">
        <f t="shared" si="451"/>
        <v>0</v>
      </c>
      <c r="DC72" s="143">
        <f t="shared" si="451"/>
        <v>0</v>
      </c>
      <c r="DD72" s="143">
        <f t="shared" si="451"/>
        <v>0</v>
      </c>
      <c r="DE72" s="143">
        <f t="shared" si="451"/>
        <v>0</v>
      </c>
      <c r="DF72" s="143">
        <f t="shared" si="451"/>
        <v>0</v>
      </c>
      <c r="DG72" s="143">
        <f t="shared" si="451"/>
        <v>0</v>
      </c>
      <c r="DH72" s="143">
        <f t="shared" si="451"/>
        <v>0</v>
      </c>
      <c r="DI72" s="143">
        <f t="shared" si="451"/>
        <v>0</v>
      </c>
      <c r="DJ72" s="143">
        <f t="shared" si="451"/>
        <v>0</v>
      </c>
      <c r="DK72" s="143">
        <f t="shared" si="37"/>
        <v>0</v>
      </c>
      <c r="DL72" s="143">
        <f t="shared" si="38"/>
        <v>0</v>
      </c>
      <c r="DM72" s="143">
        <f t="shared" ref="DM72:DN72" si="452">AD72*BW$2/($H72/50)^2</f>
        <v>0</v>
      </c>
      <c r="DN72" s="143">
        <f t="shared" si="452"/>
        <v>0</v>
      </c>
      <c r="DO72" s="143">
        <f t="shared" si="40"/>
        <v>0</v>
      </c>
      <c r="DP72" s="143">
        <f t="shared" si="41"/>
        <v>0</v>
      </c>
      <c r="DQ72" s="143">
        <f t="shared" si="42"/>
        <v>0</v>
      </c>
      <c r="DR72" s="143">
        <f t="shared" si="43"/>
        <v>0</v>
      </c>
      <c r="DS72" s="143">
        <f t="shared" si="44"/>
        <v>0</v>
      </c>
      <c r="DT72" s="143">
        <f t="shared" si="45"/>
        <v>0</v>
      </c>
      <c r="DU72" s="143">
        <f t="shared" si="46"/>
        <v>0</v>
      </c>
      <c r="DV72" s="143">
        <f t="shared" si="47"/>
        <v>0</v>
      </c>
      <c r="DW72" s="143">
        <f t="shared" si="48"/>
        <v>0</v>
      </c>
      <c r="DX72" s="143">
        <f t="shared" si="49"/>
        <v>0</v>
      </c>
      <c r="DY72" s="143">
        <f t="shared" si="50"/>
        <v>0</v>
      </c>
      <c r="DZ72" s="143">
        <f t="shared" si="51"/>
        <v>0</v>
      </c>
      <c r="EA72" s="143">
        <f t="shared" ref="EA72:EL72" si="453">AR72*CK$2/($H72/50)^2</f>
        <v>0</v>
      </c>
      <c r="EB72" s="143">
        <f t="shared" si="453"/>
        <v>0.5</v>
      </c>
      <c r="EC72" s="143">
        <f t="shared" si="453"/>
        <v>0</v>
      </c>
      <c r="ED72" s="143">
        <f t="shared" si="453"/>
        <v>0</v>
      </c>
      <c r="EE72" s="143">
        <f t="shared" si="453"/>
        <v>0</v>
      </c>
      <c r="EF72" s="143">
        <f t="shared" si="453"/>
        <v>0</v>
      </c>
      <c r="EG72" s="143">
        <f t="shared" si="453"/>
        <v>0</v>
      </c>
      <c r="EH72" s="143">
        <f t="shared" si="453"/>
        <v>0</v>
      </c>
      <c r="EI72" s="143">
        <f t="shared" si="453"/>
        <v>0</v>
      </c>
      <c r="EJ72" s="143">
        <f t="shared" si="453"/>
        <v>0</v>
      </c>
      <c r="EK72" s="143">
        <f t="shared" si="453"/>
        <v>0</v>
      </c>
      <c r="EL72" s="143">
        <f t="shared" si="453"/>
        <v>0</v>
      </c>
    </row>
    <row r="73">
      <c r="A73" s="155" t="s">
        <v>129</v>
      </c>
      <c r="B73" s="132">
        <f t="shared" si="10"/>
        <v>0</v>
      </c>
      <c r="C73" s="144"/>
      <c r="D73" s="134">
        <f t="shared" si="11"/>
        <v>0</v>
      </c>
      <c r="E73" s="135">
        <f t="shared" si="12"/>
        <v>0</v>
      </c>
      <c r="F73" s="132">
        <f t="shared" si="13"/>
        <v>0</v>
      </c>
      <c r="G73" s="136">
        <f t="shared" si="14"/>
        <v>0</v>
      </c>
      <c r="H73" s="137">
        <v>100.0</v>
      </c>
      <c r="I73" s="137" t="str">
        <f t="shared" si="454"/>
        <v>Resin Base</v>
      </c>
      <c r="J73" s="139">
        <f t="shared" si="15"/>
        <v>0</v>
      </c>
      <c r="K73" s="140">
        <f t="shared" si="16"/>
        <v>14</v>
      </c>
      <c r="L73" s="139" t="s">
        <v>61</v>
      </c>
      <c r="M73" s="139" t="s">
        <v>61</v>
      </c>
      <c r="N73" s="139">
        <v>1.0</v>
      </c>
      <c r="O73" s="139"/>
      <c r="P73" s="141"/>
      <c r="Q73" s="141"/>
      <c r="R73" s="141"/>
      <c r="S73" s="141"/>
      <c r="T73" s="141"/>
      <c r="U73" s="141"/>
      <c r="V73" s="141"/>
      <c r="W73" s="139"/>
      <c r="X73" s="139"/>
      <c r="Y73" s="139"/>
      <c r="Z73" s="139"/>
      <c r="AA73" s="139">
        <v>1.0</v>
      </c>
      <c r="AB73" s="141"/>
      <c r="AC73" s="141"/>
      <c r="AD73" s="141"/>
      <c r="AE73" s="141"/>
      <c r="AF73" s="141"/>
      <c r="AG73" s="141"/>
      <c r="AH73" s="141"/>
      <c r="AI73" s="141"/>
      <c r="AJ73" s="139"/>
      <c r="AK73" s="139"/>
      <c r="AL73" s="139"/>
      <c r="AM73" s="139"/>
      <c r="AN73" s="139"/>
      <c r="AO73" s="141"/>
      <c r="AP73" s="141"/>
      <c r="AQ73" s="141"/>
      <c r="AR73" s="141"/>
      <c r="AS73" s="139"/>
      <c r="AT73" s="141"/>
      <c r="AU73" s="141"/>
      <c r="AV73" s="141"/>
      <c r="AW73" s="139"/>
      <c r="AX73" s="139"/>
      <c r="AY73" s="139"/>
      <c r="AZ73" s="139"/>
      <c r="BA73" s="139"/>
      <c r="BB73" s="141"/>
      <c r="BC73" s="139"/>
      <c r="BD73" s="142"/>
      <c r="BE73" s="143">
        <f t="shared" si="17"/>
        <v>0</v>
      </c>
      <c r="BF73" s="143">
        <f t="shared" si="18"/>
        <v>0</v>
      </c>
      <c r="BG73" s="143">
        <f t="shared" ref="BG73:BT73" si="455">$G73*N73*IF($H73&gt;50,18,36)+$F73*N73*IF($H73&gt;50,4,8)+$E73*N73</f>
        <v>0</v>
      </c>
      <c r="BH73" s="143">
        <f t="shared" si="455"/>
        <v>0</v>
      </c>
      <c r="BI73" s="143">
        <f t="shared" si="455"/>
        <v>0</v>
      </c>
      <c r="BJ73" s="143">
        <f t="shared" si="455"/>
        <v>0</v>
      </c>
      <c r="BK73" s="143">
        <f t="shared" si="455"/>
        <v>0</v>
      </c>
      <c r="BL73" s="143">
        <f t="shared" si="455"/>
        <v>0</v>
      </c>
      <c r="BM73" s="143">
        <f t="shared" si="455"/>
        <v>0</v>
      </c>
      <c r="BN73" s="143">
        <f t="shared" si="455"/>
        <v>0</v>
      </c>
      <c r="BO73" s="143">
        <f t="shared" si="455"/>
        <v>0</v>
      </c>
      <c r="BP73" s="143">
        <f t="shared" si="455"/>
        <v>0</v>
      </c>
      <c r="BQ73" s="143">
        <f t="shared" si="455"/>
        <v>0</v>
      </c>
      <c r="BR73" s="143">
        <f t="shared" si="455"/>
        <v>0</v>
      </c>
      <c r="BS73" s="143">
        <f t="shared" si="455"/>
        <v>0</v>
      </c>
      <c r="BT73" s="143">
        <f t="shared" si="455"/>
        <v>0</v>
      </c>
      <c r="BU73" s="143">
        <f t="shared" si="20"/>
        <v>0</v>
      </c>
      <c r="BV73" s="143">
        <f t="shared" si="21"/>
        <v>0</v>
      </c>
      <c r="BW73" s="143">
        <f t="shared" ref="BW73:BX73" si="456">$G73*AD73*IF($H73&gt;50,18,36)+$F73*AD73*IF($H73&gt;50,4,8)+$E73*AD73</f>
        <v>0</v>
      </c>
      <c r="BX73" s="143">
        <f t="shared" si="456"/>
        <v>0</v>
      </c>
      <c r="BY73" s="143">
        <f t="shared" si="23"/>
        <v>0</v>
      </c>
      <c r="BZ73" s="143">
        <f t="shared" si="24"/>
        <v>0</v>
      </c>
      <c r="CA73" s="143">
        <f t="shared" si="25"/>
        <v>0</v>
      </c>
      <c r="CB73" s="143">
        <f t="shared" si="26"/>
        <v>0</v>
      </c>
      <c r="CC73" s="143">
        <f t="shared" si="27"/>
        <v>0</v>
      </c>
      <c r="CD73" s="143">
        <f t="shared" si="28"/>
        <v>0</v>
      </c>
      <c r="CE73" s="143">
        <f t="shared" si="29"/>
        <v>0</v>
      </c>
      <c r="CF73" s="143">
        <f t="shared" si="30"/>
        <v>0</v>
      </c>
      <c r="CG73" s="143">
        <f t="shared" si="31"/>
        <v>0</v>
      </c>
      <c r="CH73" s="143">
        <f t="shared" si="32"/>
        <v>0</v>
      </c>
      <c r="CI73" s="143">
        <f t="shared" si="33"/>
        <v>0</v>
      </c>
      <c r="CJ73" s="143">
        <f t="shared" si="34"/>
        <v>0</v>
      </c>
      <c r="CK73" s="143">
        <f t="shared" ref="CK73:CV73" si="457">$G73*AR73*IF($H73&gt;50,18,36)+$F73*AR73*IF($H73&gt;50,4,8)+$E73*AR73</f>
        <v>0</v>
      </c>
      <c r="CL73" s="143">
        <f t="shared" si="457"/>
        <v>0</v>
      </c>
      <c r="CM73" s="143">
        <f t="shared" si="457"/>
        <v>0</v>
      </c>
      <c r="CN73" s="143">
        <f t="shared" si="457"/>
        <v>0</v>
      </c>
      <c r="CO73" s="143">
        <f t="shared" si="457"/>
        <v>0</v>
      </c>
      <c r="CP73" s="143">
        <f t="shared" si="457"/>
        <v>0</v>
      </c>
      <c r="CQ73" s="143">
        <f t="shared" si="457"/>
        <v>0</v>
      </c>
      <c r="CR73" s="143">
        <f t="shared" si="457"/>
        <v>0</v>
      </c>
      <c r="CS73" s="143">
        <f t="shared" si="457"/>
        <v>0</v>
      </c>
      <c r="CT73" s="143">
        <f t="shared" si="457"/>
        <v>0</v>
      </c>
      <c r="CU73" s="143">
        <f t="shared" si="457"/>
        <v>0</v>
      </c>
      <c r="CV73" s="143">
        <f t="shared" si="457"/>
        <v>0</v>
      </c>
      <c r="CW73" s="143"/>
      <c r="CX73" s="143">
        <f t="shared" ref="CX73:DJ73" si="458">O73*BH$2/($H73/50)^2</f>
        <v>0</v>
      </c>
      <c r="CY73" s="143">
        <f t="shared" si="458"/>
        <v>0</v>
      </c>
      <c r="CZ73" s="143">
        <f t="shared" si="458"/>
        <v>0</v>
      </c>
      <c r="DA73" s="143">
        <f t="shared" si="458"/>
        <v>0</v>
      </c>
      <c r="DB73" s="143">
        <f t="shared" si="458"/>
        <v>0</v>
      </c>
      <c r="DC73" s="143">
        <f t="shared" si="458"/>
        <v>0</v>
      </c>
      <c r="DD73" s="143">
        <f t="shared" si="458"/>
        <v>0</v>
      </c>
      <c r="DE73" s="143">
        <f t="shared" si="458"/>
        <v>0</v>
      </c>
      <c r="DF73" s="143">
        <f t="shared" si="458"/>
        <v>0</v>
      </c>
      <c r="DG73" s="143">
        <f t="shared" si="458"/>
        <v>0</v>
      </c>
      <c r="DH73" s="143">
        <f t="shared" si="458"/>
        <v>0</v>
      </c>
      <c r="DI73" s="143">
        <f t="shared" si="458"/>
        <v>0</v>
      </c>
      <c r="DJ73" s="143">
        <f t="shared" si="458"/>
        <v>0.75</v>
      </c>
      <c r="DK73" s="143">
        <f t="shared" si="37"/>
        <v>0</v>
      </c>
      <c r="DL73" s="143">
        <f t="shared" si="38"/>
        <v>0</v>
      </c>
      <c r="DM73" s="143">
        <f t="shared" ref="DM73:DN73" si="459">AD73*BW$2/($H73/50)^2</f>
        <v>0</v>
      </c>
      <c r="DN73" s="143">
        <f t="shared" si="459"/>
        <v>0</v>
      </c>
      <c r="DO73" s="143">
        <f t="shared" si="40"/>
        <v>0</v>
      </c>
      <c r="DP73" s="143">
        <f t="shared" si="41"/>
        <v>0</v>
      </c>
      <c r="DQ73" s="143">
        <f t="shared" si="42"/>
        <v>0</v>
      </c>
      <c r="DR73" s="143">
        <f t="shared" si="43"/>
        <v>0</v>
      </c>
      <c r="DS73" s="143">
        <f t="shared" si="44"/>
        <v>0</v>
      </c>
      <c r="DT73" s="143">
        <f t="shared" si="45"/>
        <v>0</v>
      </c>
      <c r="DU73" s="143">
        <f t="shared" si="46"/>
        <v>0</v>
      </c>
      <c r="DV73" s="143">
        <f t="shared" si="47"/>
        <v>0</v>
      </c>
      <c r="DW73" s="143">
        <f t="shared" si="48"/>
        <v>0</v>
      </c>
      <c r="DX73" s="143">
        <f t="shared" si="49"/>
        <v>0</v>
      </c>
      <c r="DY73" s="143">
        <f t="shared" si="50"/>
        <v>0</v>
      </c>
      <c r="DZ73" s="143">
        <f t="shared" si="51"/>
        <v>0</v>
      </c>
      <c r="EA73" s="143">
        <f t="shared" ref="EA73:EL73" si="460">AR73*CK$2/($H73/50)^2</f>
        <v>0</v>
      </c>
      <c r="EB73" s="143">
        <f t="shared" si="460"/>
        <v>0</v>
      </c>
      <c r="EC73" s="143">
        <f t="shared" si="460"/>
        <v>0</v>
      </c>
      <c r="ED73" s="143">
        <f t="shared" si="460"/>
        <v>0</v>
      </c>
      <c r="EE73" s="143">
        <f t="shared" si="460"/>
        <v>0</v>
      </c>
      <c r="EF73" s="143">
        <f t="shared" si="460"/>
        <v>0</v>
      </c>
      <c r="EG73" s="143">
        <f t="shared" si="460"/>
        <v>0</v>
      </c>
      <c r="EH73" s="143">
        <f t="shared" si="460"/>
        <v>0</v>
      </c>
      <c r="EI73" s="143">
        <f t="shared" si="460"/>
        <v>0</v>
      </c>
      <c r="EJ73" s="143">
        <f t="shared" si="460"/>
        <v>0</v>
      </c>
      <c r="EK73" s="143">
        <f t="shared" si="460"/>
        <v>0</v>
      </c>
      <c r="EL73" s="143">
        <f t="shared" si="460"/>
        <v>0</v>
      </c>
    </row>
    <row r="74">
      <c r="A74" s="155" t="s">
        <v>130</v>
      </c>
      <c r="B74" s="132">
        <f t="shared" si="10"/>
        <v>0</v>
      </c>
      <c r="C74" s="144"/>
      <c r="D74" s="134">
        <f t="shared" si="11"/>
        <v>0</v>
      </c>
      <c r="E74" s="135">
        <f t="shared" si="12"/>
        <v>0</v>
      </c>
      <c r="F74" s="132">
        <f t="shared" si="13"/>
        <v>0</v>
      </c>
      <c r="G74" s="136">
        <f t="shared" si="14"/>
        <v>0</v>
      </c>
      <c r="H74" s="137">
        <v>100.0</v>
      </c>
      <c r="I74" s="137" t="str">
        <f t="shared" si="454"/>
        <v>Resin Base</v>
      </c>
      <c r="J74" s="139">
        <f t="shared" si="15"/>
        <v>0</v>
      </c>
      <c r="K74" s="140">
        <f t="shared" si="16"/>
        <v>17</v>
      </c>
      <c r="L74" s="139">
        <v>300.0</v>
      </c>
      <c r="M74" s="139">
        <v>1000.0</v>
      </c>
      <c r="N74" s="139">
        <v>2.0</v>
      </c>
      <c r="O74" s="139"/>
      <c r="P74" s="139"/>
      <c r="Q74" s="139">
        <v>1.0</v>
      </c>
      <c r="R74" s="141"/>
      <c r="S74" s="141"/>
      <c r="T74" s="141"/>
      <c r="U74" s="141"/>
      <c r="V74" s="141"/>
      <c r="W74" s="139"/>
      <c r="X74" s="139"/>
      <c r="Y74" s="139"/>
      <c r="Z74" s="139"/>
      <c r="AA74" s="139">
        <v>2.0</v>
      </c>
      <c r="AB74" s="141"/>
      <c r="AC74" s="141"/>
      <c r="AD74" s="141"/>
      <c r="AE74" s="141"/>
      <c r="AF74" s="141"/>
      <c r="AG74" s="141"/>
      <c r="AH74" s="141"/>
      <c r="AI74" s="141"/>
      <c r="AJ74" s="139"/>
      <c r="AK74" s="139"/>
      <c r="AL74" s="139"/>
      <c r="AM74" s="139"/>
      <c r="AN74" s="139"/>
      <c r="AO74" s="141"/>
      <c r="AP74" s="141"/>
      <c r="AQ74" s="141"/>
      <c r="AR74" s="141"/>
      <c r="AS74" s="139"/>
      <c r="AT74" s="141"/>
      <c r="AU74" s="141"/>
      <c r="AV74" s="141"/>
      <c r="AW74" s="139"/>
      <c r="AX74" s="139"/>
      <c r="AY74" s="139"/>
      <c r="AZ74" s="139"/>
      <c r="BA74" s="139"/>
      <c r="BB74" s="141"/>
      <c r="BC74" s="139"/>
      <c r="BD74" s="142"/>
      <c r="BE74" s="143">
        <f t="shared" si="17"/>
        <v>0</v>
      </c>
      <c r="BF74" s="143">
        <f t="shared" si="18"/>
        <v>0</v>
      </c>
      <c r="BG74" s="143">
        <f t="shared" ref="BG74:BT74" si="461">$G74*N74*IF($H74&gt;50,18,36)+$F74*N74*IF($H74&gt;50,4,8)+$E74*N74</f>
        <v>0</v>
      </c>
      <c r="BH74" s="143">
        <f t="shared" si="461"/>
        <v>0</v>
      </c>
      <c r="BI74" s="143">
        <f t="shared" si="461"/>
        <v>0</v>
      </c>
      <c r="BJ74" s="143">
        <f t="shared" si="461"/>
        <v>0</v>
      </c>
      <c r="BK74" s="143">
        <f t="shared" si="461"/>
        <v>0</v>
      </c>
      <c r="BL74" s="143">
        <f t="shared" si="461"/>
        <v>0</v>
      </c>
      <c r="BM74" s="143">
        <f t="shared" si="461"/>
        <v>0</v>
      </c>
      <c r="BN74" s="143">
        <f t="shared" si="461"/>
        <v>0</v>
      </c>
      <c r="BO74" s="143">
        <f t="shared" si="461"/>
        <v>0</v>
      </c>
      <c r="BP74" s="143">
        <f t="shared" si="461"/>
        <v>0</v>
      </c>
      <c r="BQ74" s="143">
        <f t="shared" si="461"/>
        <v>0</v>
      </c>
      <c r="BR74" s="143">
        <f t="shared" si="461"/>
        <v>0</v>
      </c>
      <c r="BS74" s="143">
        <f t="shared" si="461"/>
        <v>0</v>
      </c>
      <c r="BT74" s="143">
        <f t="shared" si="461"/>
        <v>0</v>
      </c>
      <c r="BU74" s="143">
        <f t="shared" si="20"/>
        <v>0</v>
      </c>
      <c r="BV74" s="143">
        <f t="shared" si="21"/>
        <v>0</v>
      </c>
      <c r="BW74" s="143">
        <f t="shared" ref="BW74:BX74" si="462">$G74*AD74*IF($H74&gt;50,18,36)+$F74*AD74*IF($H74&gt;50,4,8)+$E74*AD74</f>
        <v>0</v>
      </c>
      <c r="BX74" s="143">
        <f t="shared" si="462"/>
        <v>0</v>
      </c>
      <c r="BY74" s="143">
        <f t="shared" si="23"/>
        <v>0</v>
      </c>
      <c r="BZ74" s="143">
        <f t="shared" si="24"/>
        <v>0</v>
      </c>
      <c r="CA74" s="143">
        <f t="shared" si="25"/>
        <v>0</v>
      </c>
      <c r="CB74" s="143">
        <f t="shared" si="26"/>
        <v>0</v>
      </c>
      <c r="CC74" s="143">
        <f t="shared" si="27"/>
        <v>0</v>
      </c>
      <c r="CD74" s="143">
        <f t="shared" si="28"/>
        <v>0</v>
      </c>
      <c r="CE74" s="143">
        <f t="shared" si="29"/>
        <v>0</v>
      </c>
      <c r="CF74" s="143">
        <f t="shared" si="30"/>
        <v>0</v>
      </c>
      <c r="CG74" s="143">
        <f t="shared" si="31"/>
        <v>0</v>
      </c>
      <c r="CH74" s="143">
        <f t="shared" si="32"/>
        <v>0</v>
      </c>
      <c r="CI74" s="143">
        <f t="shared" si="33"/>
        <v>0</v>
      </c>
      <c r="CJ74" s="143">
        <f t="shared" si="34"/>
        <v>0</v>
      </c>
      <c r="CK74" s="143">
        <f t="shared" ref="CK74:CV74" si="463">$G74*AR74*IF($H74&gt;50,18,36)+$F74*AR74*IF($H74&gt;50,4,8)+$E74*AR74</f>
        <v>0</v>
      </c>
      <c r="CL74" s="143">
        <f t="shared" si="463"/>
        <v>0</v>
      </c>
      <c r="CM74" s="143">
        <f t="shared" si="463"/>
        <v>0</v>
      </c>
      <c r="CN74" s="143">
        <f t="shared" si="463"/>
        <v>0</v>
      </c>
      <c r="CO74" s="143">
        <f t="shared" si="463"/>
        <v>0</v>
      </c>
      <c r="CP74" s="143">
        <f t="shared" si="463"/>
        <v>0</v>
      </c>
      <c r="CQ74" s="143">
        <f t="shared" si="463"/>
        <v>0</v>
      </c>
      <c r="CR74" s="143">
        <f t="shared" si="463"/>
        <v>0</v>
      </c>
      <c r="CS74" s="143">
        <f t="shared" si="463"/>
        <v>0</v>
      </c>
      <c r="CT74" s="143">
        <f t="shared" si="463"/>
        <v>0</v>
      </c>
      <c r="CU74" s="143">
        <f t="shared" si="463"/>
        <v>0</v>
      </c>
      <c r="CV74" s="143">
        <f t="shared" si="463"/>
        <v>0</v>
      </c>
      <c r="CW74" s="143"/>
      <c r="CX74" s="143">
        <f t="shared" ref="CX74:DJ74" si="464">O74*BH$2/($H74/50)^2</f>
        <v>0</v>
      </c>
      <c r="CY74" s="143">
        <f t="shared" si="464"/>
        <v>0</v>
      </c>
      <c r="CZ74" s="143">
        <f t="shared" si="464"/>
        <v>2.5</v>
      </c>
      <c r="DA74" s="143">
        <f t="shared" si="464"/>
        <v>0</v>
      </c>
      <c r="DB74" s="143">
        <f t="shared" si="464"/>
        <v>0</v>
      </c>
      <c r="DC74" s="143">
        <f t="shared" si="464"/>
        <v>0</v>
      </c>
      <c r="DD74" s="143">
        <f t="shared" si="464"/>
        <v>0</v>
      </c>
      <c r="DE74" s="143">
        <f t="shared" si="464"/>
        <v>0</v>
      </c>
      <c r="DF74" s="143">
        <f t="shared" si="464"/>
        <v>0</v>
      </c>
      <c r="DG74" s="143">
        <f t="shared" si="464"/>
        <v>0</v>
      </c>
      <c r="DH74" s="143">
        <f t="shared" si="464"/>
        <v>0</v>
      </c>
      <c r="DI74" s="143">
        <f t="shared" si="464"/>
        <v>0</v>
      </c>
      <c r="DJ74" s="143">
        <f t="shared" si="464"/>
        <v>1.5</v>
      </c>
      <c r="DK74" s="143">
        <f t="shared" si="37"/>
        <v>0</v>
      </c>
      <c r="DL74" s="143">
        <f t="shared" si="38"/>
        <v>0</v>
      </c>
      <c r="DM74" s="143">
        <f t="shared" ref="DM74:DN74" si="465">AD74*BW$2/($H74/50)^2</f>
        <v>0</v>
      </c>
      <c r="DN74" s="143">
        <f t="shared" si="465"/>
        <v>0</v>
      </c>
      <c r="DO74" s="143">
        <f t="shared" si="40"/>
        <v>0</v>
      </c>
      <c r="DP74" s="143">
        <f t="shared" si="41"/>
        <v>0</v>
      </c>
      <c r="DQ74" s="143">
        <f t="shared" si="42"/>
        <v>0</v>
      </c>
      <c r="DR74" s="143">
        <f t="shared" si="43"/>
        <v>0</v>
      </c>
      <c r="DS74" s="143">
        <f t="shared" si="44"/>
        <v>0</v>
      </c>
      <c r="DT74" s="143">
        <f t="shared" si="45"/>
        <v>0</v>
      </c>
      <c r="DU74" s="143">
        <f t="shared" si="46"/>
        <v>0</v>
      </c>
      <c r="DV74" s="143">
        <f t="shared" si="47"/>
        <v>0</v>
      </c>
      <c r="DW74" s="143">
        <f t="shared" si="48"/>
        <v>0</v>
      </c>
      <c r="DX74" s="143">
        <f t="shared" si="49"/>
        <v>0</v>
      </c>
      <c r="DY74" s="143">
        <f t="shared" si="50"/>
        <v>0</v>
      </c>
      <c r="DZ74" s="143">
        <f t="shared" si="51"/>
        <v>0</v>
      </c>
      <c r="EA74" s="143">
        <f t="shared" ref="EA74:EL74" si="466">AR74*CK$2/($H74/50)^2</f>
        <v>0</v>
      </c>
      <c r="EB74" s="143">
        <f t="shared" si="466"/>
        <v>0</v>
      </c>
      <c r="EC74" s="143">
        <f t="shared" si="466"/>
        <v>0</v>
      </c>
      <c r="ED74" s="143">
        <f t="shared" si="466"/>
        <v>0</v>
      </c>
      <c r="EE74" s="143">
        <f t="shared" si="466"/>
        <v>0</v>
      </c>
      <c r="EF74" s="143">
        <f t="shared" si="466"/>
        <v>0</v>
      </c>
      <c r="EG74" s="143">
        <f t="shared" si="466"/>
        <v>0</v>
      </c>
      <c r="EH74" s="143">
        <f t="shared" si="466"/>
        <v>0</v>
      </c>
      <c r="EI74" s="143">
        <f t="shared" si="466"/>
        <v>0</v>
      </c>
      <c r="EJ74" s="143">
        <f t="shared" si="466"/>
        <v>0</v>
      </c>
      <c r="EK74" s="143">
        <f t="shared" si="466"/>
        <v>0</v>
      </c>
      <c r="EL74" s="143">
        <f t="shared" si="466"/>
        <v>0</v>
      </c>
    </row>
    <row r="75">
      <c r="A75" s="154" t="s">
        <v>131</v>
      </c>
      <c r="B75" s="132">
        <f t="shared" si="10"/>
        <v>0</v>
      </c>
      <c r="C75" s="146">
        <v>15.0</v>
      </c>
      <c r="D75" s="134">
        <f t="shared" si="11"/>
        <v>15</v>
      </c>
      <c r="E75" s="135">
        <f t="shared" si="12"/>
        <v>15</v>
      </c>
      <c r="F75" s="132">
        <f t="shared" si="13"/>
        <v>0</v>
      </c>
      <c r="G75" s="136">
        <f t="shared" si="14"/>
        <v>0</v>
      </c>
      <c r="H75" s="137">
        <v>100.0</v>
      </c>
      <c r="I75" s="137" t="str">
        <f t="shared" si="454"/>
        <v>Resin Base</v>
      </c>
      <c r="J75" s="139">
        <f t="shared" si="15"/>
        <v>660</v>
      </c>
      <c r="K75" s="140">
        <f t="shared" si="16"/>
        <v>44</v>
      </c>
      <c r="L75" s="139">
        <v>500.0</v>
      </c>
      <c r="M75" s="139">
        <v>3000.0</v>
      </c>
      <c r="N75" s="139">
        <v>4.0</v>
      </c>
      <c r="O75" s="139"/>
      <c r="P75" s="141"/>
      <c r="Q75" s="141"/>
      <c r="R75" s="141"/>
      <c r="S75" s="139">
        <v>1.0</v>
      </c>
      <c r="T75" s="139">
        <v>1.0</v>
      </c>
      <c r="U75" s="141"/>
      <c r="V75" s="141"/>
      <c r="W75" s="139"/>
      <c r="X75" s="139"/>
      <c r="Y75" s="139"/>
      <c r="Z75" s="139"/>
      <c r="AA75" s="139">
        <v>4.0</v>
      </c>
      <c r="AB75" s="141"/>
      <c r="AC75" s="141"/>
      <c r="AD75" s="141"/>
      <c r="AE75" s="141"/>
      <c r="AF75" s="141"/>
      <c r="AG75" s="141"/>
      <c r="AH75" s="141"/>
      <c r="AI75" s="141"/>
      <c r="AJ75" s="139"/>
      <c r="AK75" s="139"/>
      <c r="AL75" s="139"/>
      <c r="AM75" s="139"/>
      <c r="AN75" s="139"/>
      <c r="AO75" s="141"/>
      <c r="AP75" s="141"/>
      <c r="AQ75" s="141"/>
      <c r="AR75" s="141"/>
      <c r="AS75" s="139"/>
      <c r="AT75" s="141"/>
      <c r="AU75" s="141"/>
      <c r="AV75" s="141"/>
      <c r="AW75" s="139"/>
      <c r="AX75" s="139"/>
      <c r="AY75" s="139"/>
      <c r="AZ75" s="139"/>
      <c r="BA75" s="139"/>
      <c r="BB75" s="141"/>
      <c r="BC75" s="139"/>
      <c r="BD75" s="142"/>
      <c r="BE75" s="143">
        <f t="shared" si="17"/>
        <v>7500</v>
      </c>
      <c r="BF75" s="143">
        <f t="shared" si="18"/>
        <v>3000</v>
      </c>
      <c r="BG75" s="143">
        <f t="shared" ref="BG75:BT75" si="467">$G75*N75*IF($H75&gt;50,18,36)+$F75*N75*IF($H75&gt;50,4,8)+$E75*N75</f>
        <v>60</v>
      </c>
      <c r="BH75" s="143">
        <f t="shared" si="467"/>
        <v>0</v>
      </c>
      <c r="BI75" s="143">
        <f t="shared" si="467"/>
        <v>0</v>
      </c>
      <c r="BJ75" s="143">
        <f t="shared" si="467"/>
        <v>0</v>
      </c>
      <c r="BK75" s="143">
        <f t="shared" si="467"/>
        <v>0</v>
      </c>
      <c r="BL75" s="143">
        <f t="shared" si="467"/>
        <v>15</v>
      </c>
      <c r="BM75" s="143">
        <f t="shared" si="467"/>
        <v>15</v>
      </c>
      <c r="BN75" s="143">
        <f t="shared" si="467"/>
        <v>0</v>
      </c>
      <c r="BO75" s="143">
        <f t="shared" si="467"/>
        <v>0</v>
      </c>
      <c r="BP75" s="143">
        <f t="shared" si="467"/>
        <v>0</v>
      </c>
      <c r="BQ75" s="143">
        <f t="shared" si="467"/>
        <v>0</v>
      </c>
      <c r="BR75" s="143">
        <f t="shared" si="467"/>
        <v>0</v>
      </c>
      <c r="BS75" s="143">
        <f t="shared" si="467"/>
        <v>0</v>
      </c>
      <c r="BT75" s="143">
        <f t="shared" si="467"/>
        <v>60</v>
      </c>
      <c r="BU75" s="143">
        <f t="shared" si="20"/>
        <v>0</v>
      </c>
      <c r="BV75" s="143">
        <f t="shared" si="21"/>
        <v>0</v>
      </c>
      <c r="BW75" s="143">
        <f t="shared" ref="BW75:BX75" si="468">$G75*AD75*IF($H75&gt;50,18,36)+$F75*AD75*IF($H75&gt;50,4,8)+$E75*AD75</f>
        <v>0</v>
      </c>
      <c r="BX75" s="143">
        <f t="shared" si="468"/>
        <v>0</v>
      </c>
      <c r="BY75" s="143">
        <f t="shared" si="23"/>
        <v>0</v>
      </c>
      <c r="BZ75" s="143">
        <f t="shared" si="24"/>
        <v>0</v>
      </c>
      <c r="CA75" s="143">
        <f t="shared" si="25"/>
        <v>0</v>
      </c>
      <c r="CB75" s="143">
        <f t="shared" si="26"/>
        <v>0</v>
      </c>
      <c r="CC75" s="143">
        <f t="shared" si="27"/>
        <v>0</v>
      </c>
      <c r="CD75" s="143">
        <f t="shared" si="28"/>
        <v>0</v>
      </c>
      <c r="CE75" s="143">
        <f t="shared" si="29"/>
        <v>0</v>
      </c>
      <c r="CF75" s="143">
        <f t="shared" si="30"/>
        <v>0</v>
      </c>
      <c r="CG75" s="143">
        <f t="shared" si="31"/>
        <v>0</v>
      </c>
      <c r="CH75" s="143">
        <f t="shared" si="32"/>
        <v>0</v>
      </c>
      <c r="CI75" s="143">
        <f t="shared" si="33"/>
        <v>0</v>
      </c>
      <c r="CJ75" s="143">
        <f t="shared" si="34"/>
        <v>0</v>
      </c>
      <c r="CK75" s="143">
        <f t="shared" ref="CK75:CV75" si="469">$G75*AR75*IF($H75&gt;50,18,36)+$F75*AR75*IF($H75&gt;50,4,8)+$E75*AR75</f>
        <v>0</v>
      </c>
      <c r="CL75" s="143">
        <f t="shared" si="469"/>
        <v>0</v>
      </c>
      <c r="CM75" s="143">
        <f t="shared" si="469"/>
        <v>0</v>
      </c>
      <c r="CN75" s="143">
        <f t="shared" si="469"/>
        <v>0</v>
      </c>
      <c r="CO75" s="143">
        <f t="shared" si="469"/>
        <v>0</v>
      </c>
      <c r="CP75" s="143">
        <f t="shared" si="469"/>
        <v>0</v>
      </c>
      <c r="CQ75" s="143">
        <f t="shared" si="469"/>
        <v>0</v>
      </c>
      <c r="CR75" s="143">
        <f t="shared" si="469"/>
        <v>0</v>
      </c>
      <c r="CS75" s="143">
        <f t="shared" si="469"/>
        <v>0</v>
      </c>
      <c r="CT75" s="143">
        <f t="shared" si="469"/>
        <v>0</v>
      </c>
      <c r="CU75" s="143">
        <f t="shared" si="469"/>
        <v>0</v>
      </c>
      <c r="CV75" s="143">
        <f t="shared" si="469"/>
        <v>0</v>
      </c>
      <c r="CW75" s="143"/>
      <c r="CX75" s="143">
        <f t="shared" ref="CX75:DJ75" si="470">O75*BH$2/($H75/50)^2</f>
        <v>0</v>
      </c>
      <c r="CY75" s="143">
        <f t="shared" si="470"/>
        <v>0</v>
      </c>
      <c r="CZ75" s="143">
        <f t="shared" si="470"/>
        <v>0</v>
      </c>
      <c r="DA75" s="143">
        <f t="shared" si="470"/>
        <v>0</v>
      </c>
      <c r="DB75" s="143">
        <f t="shared" si="470"/>
        <v>12.5</v>
      </c>
      <c r="DC75" s="143">
        <f t="shared" si="470"/>
        <v>15</v>
      </c>
      <c r="DD75" s="143">
        <f t="shared" si="470"/>
        <v>0</v>
      </c>
      <c r="DE75" s="143">
        <f t="shared" si="470"/>
        <v>0</v>
      </c>
      <c r="DF75" s="143">
        <f t="shared" si="470"/>
        <v>0</v>
      </c>
      <c r="DG75" s="143">
        <f t="shared" si="470"/>
        <v>0</v>
      </c>
      <c r="DH75" s="143">
        <f t="shared" si="470"/>
        <v>0</v>
      </c>
      <c r="DI75" s="143">
        <f t="shared" si="470"/>
        <v>0</v>
      </c>
      <c r="DJ75" s="143">
        <f t="shared" si="470"/>
        <v>3</v>
      </c>
      <c r="DK75" s="143">
        <f t="shared" si="37"/>
        <v>0</v>
      </c>
      <c r="DL75" s="143">
        <f t="shared" si="38"/>
        <v>0</v>
      </c>
      <c r="DM75" s="143">
        <f t="shared" ref="DM75:DN75" si="471">AD75*BW$2/($H75/50)^2</f>
        <v>0</v>
      </c>
      <c r="DN75" s="143">
        <f t="shared" si="471"/>
        <v>0</v>
      </c>
      <c r="DO75" s="143">
        <f t="shared" si="40"/>
        <v>0</v>
      </c>
      <c r="DP75" s="143">
        <f t="shared" si="41"/>
        <v>0</v>
      </c>
      <c r="DQ75" s="143">
        <f t="shared" si="42"/>
        <v>0</v>
      </c>
      <c r="DR75" s="143">
        <f t="shared" si="43"/>
        <v>0</v>
      </c>
      <c r="DS75" s="143">
        <f t="shared" si="44"/>
        <v>0</v>
      </c>
      <c r="DT75" s="143">
        <f t="shared" si="45"/>
        <v>0</v>
      </c>
      <c r="DU75" s="143">
        <f t="shared" si="46"/>
        <v>0</v>
      </c>
      <c r="DV75" s="143">
        <f t="shared" si="47"/>
        <v>0</v>
      </c>
      <c r="DW75" s="143">
        <f t="shared" si="48"/>
        <v>0</v>
      </c>
      <c r="DX75" s="143">
        <f t="shared" si="49"/>
        <v>0</v>
      </c>
      <c r="DY75" s="143">
        <f t="shared" si="50"/>
        <v>0</v>
      </c>
      <c r="DZ75" s="143">
        <f t="shared" si="51"/>
        <v>0</v>
      </c>
      <c r="EA75" s="143">
        <f t="shared" ref="EA75:EL75" si="472">AR75*CK$2/($H75/50)^2</f>
        <v>0</v>
      </c>
      <c r="EB75" s="143">
        <f t="shared" si="472"/>
        <v>0</v>
      </c>
      <c r="EC75" s="143">
        <f t="shared" si="472"/>
        <v>0</v>
      </c>
      <c r="ED75" s="143">
        <f t="shared" si="472"/>
        <v>0</v>
      </c>
      <c r="EE75" s="143">
        <f t="shared" si="472"/>
        <v>0</v>
      </c>
      <c r="EF75" s="143">
        <f t="shared" si="472"/>
        <v>0</v>
      </c>
      <c r="EG75" s="143">
        <f t="shared" si="472"/>
        <v>0</v>
      </c>
      <c r="EH75" s="143">
        <f t="shared" si="472"/>
        <v>0</v>
      </c>
      <c r="EI75" s="143">
        <f t="shared" si="472"/>
        <v>0</v>
      </c>
      <c r="EJ75" s="143">
        <f t="shared" si="472"/>
        <v>0</v>
      </c>
      <c r="EK75" s="143">
        <f t="shared" si="472"/>
        <v>0</v>
      </c>
      <c r="EL75" s="143">
        <f t="shared" si="472"/>
        <v>0</v>
      </c>
    </row>
  </sheetData>
  <mergeCells count="2">
    <mergeCell ref="D1:G1"/>
    <mergeCell ref="D2:G2"/>
  </mergeCells>
  <conditionalFormatting sqref="J2:BC3">
    <cfRule type="cellIs" dxfId="3" priority="1" operator="greaterThan">
      <formula>1</formula>
    </cfRule>
  </conditionalFormatting>
  <conditionalFormatting sqref="J5:EL75">
    <cfRule type="cellIs" dxfId="4" priority="2" operator="greaterThan">
      <formula>0</formula>
    </cfRule>
  </conditionalFormatting>
  <conditionalFormatting sqref="C5:C75">
    <cfRule type="notContainsBlanks" dxfId="5" priority="3">
      <formula>LEN(TRIM(C5))&gt;0</formula>
    </cfRule>
  </conditionalFormatting>
  <conditionalFormatting sqref="L1:M1 O1:BC1">
    <cfRule type="expression" dxfId="6" priority="4">
      <formula>AND(L$2&gt;0,L$1=FALSE)</formula>
    </cfRule>
  </conditionalFormatting>
  <conditionalFormatting sqref="L1:M1 O1:BC1">
    <cfRule type="expression" dxfId="7" priority="5">
      <formula>AND(L$2&gt;0,L$1=TRUE)</formula>
    </cfRule>
  </conditionalFormatting>
  <conditionalFormatting sqref="D5:G75">
    <cfRule type="cellIs" dxfId="3" priority="6" operator="greaterThan">
      <formula>0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6.5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>
        <v>4.0</v>
      </c>
      <c r="C2" s="6"/>
    </row>
    <row r="3">
      <c r="A3" s="7" t="s">
        <v>3</v>
      </c>
      <c r="B3" s="8">
        <v>3.0</v>
      </c>
      <c r="C3" s="6"/>
    </row>
    <row r="4">
      <c r="A4" s="9" t="s">
        <v>4</v>
      </c>
      <c r="B4" s="5">
        <v>10.0</v>
      </c>
      <c r="C4" s="6"/>
    </row>
    <row r="5">
      <c r="A5" s="10" t="s">
        <v>5</v>
      </c>
      <c r="B5" s="5">
        <v>5.0</v>
      </c>
      <c r="C5" s="6"/>
    </row>
    <row r="6">
      <c r="A6" s="11" t="s">
        <v>6</v>
      </c>
      <c r="B6" s="5">
        <v>50.0</v>
      </c>
      <c r="C6" s="6"/>
    </row>
    <row r="7">
      <c r="A7" s="12" t="s">
        <v>7</v>
      </c>
      <c r="B7" s="8">
        <v>60.0</v>
      </c>
      <c r="C7" s="6"/>
    </row>
    <row r="8">
      <c r="A8" s="13" t="s">
        <v>8</v>
      </c>
      <c r="B8" s="5">
        <v>60.0</v>
      </c>
    </row>
    <row r="9">
      <c r="A9" s="14" t="s">
        <v>9</v>
      </c>
      <c r="B9" s="8">
        <v>70.0</v>
      </c>
    </row>
    <row r="10">
      <c r="A10" s="15" t="s">
        <v>10</v>
      </c>
      <c r="B10" s="5">
        <v>1.0</v>
      </c>
    </row>
    <row r="11">
      <c r="A11" s="16" t="s">
        <v>11</v>
      </c>
      <c r="B11" s="8">
        <v>2.0</v>
      </c>
    </row>
    <row r="12">
      <c r="A12" s="17" t="s">
        <v>12</v>
      </c>
      <c r="B12" s="5">
        <v>3.0</v>
      </c>
    </row>
    <row r="13">
      <c r="A13" s="18" t="s">
        <v>13</v>
      </c>
      <c r="B13" s="5">
        <v>3.0</v>
      </c>
    </row>
    <row r="14">
      <c r="A14" s="19" t="s">
        <v>15</v>
      </c>
      <c r="B14" s="8">
        <v>3.0</v>
      </c>
    </row>
    <row r="15">
      <c r="A15" s="21" t="s">
        <v>16</v>
      </c>
      <c r="B15" s="5">
        <v>30.0</v>
      </c>
    </row>
    <row r="16">
      <c r="A16" s="23" t="s">
        <v>17</v>
      </c>
      <c r="B16" s="5">
        <v>30.0</v>
      </c>
    </row>
    <row r="17">
      <c r="A17" s="24" t="s">
        <v>18</v>
      </c>
      <c r="B17" s="5">
        <v>30.0</v>
      </c>
    </row>
    <row r="18">
      <c r="A18" s="25" t="s">
        <v>19</v>
      </c>
      <c r="B18" s="8">
        <v>35.0</v>
      </c>
    </row>
    <row r="19">
      <c r="A19" s="21" t="s">
        <v>20</v>
      </c>
      <c r="B19" s="5">
        <v>30.0</v>
      </c>
    </row>
    <row r="20">
      <c r="A20" s="27" t="s">
        <v>21</v>
      </c>
      <c r="B20" s="5">
        <v>40.0</v>
      </c>
    </row>
    <row r="21">
      <c r="A21" s="28" t="s">
        <v>23</v>
      </c>
      <c r="B21" s="5">
        <v>35.0</v>
      </c>
    </row>
    <row r="22">
      <c r="A22" s="30" t="s">
        <v>24</v>
      </c>
      <c r="B22" s="8">
        <v>40.0</v>
      </c>
    </row>
    <row r="23">
      <c r="A23" s="32" t="s">
        <v>25</v>
      </c>
      <c r="B23" s="5">
        <v>400.0</v>
      </c>
    </row>
    <row r="24">
      <c r="A24" s="34" t="s">
        <v>26</v>
      </c>
      <c r="B24" s="5">
        <v>250.0</v>
      </c>
    </row>
    <row r="25">
      <c r="A25" s="36" t="s">
        <v>27</v>
      </c>
      <c r="B25" s="5">
        <v>1000.0</v>
      </c>
    </row>
    <row r="26">
      <c r="A26" s="32" t="s">
        <v>28</v>
      </c>
      <c r="B26" s="5">
        <v>150.0</v>
      </c>
    </row>
    <row r="27">
      <c r="A27" s="37" t="s">
        <v>29</v>
      </c>
      <c r="B27" s="8">
        <v>6000.0</v>
      </c>
    </row>
    <row r="28">
      <c r="A28" s="38" t="s">
        <v>30</v>
      </c>
      <c r="B28" s="5">
        <v>30.0</v>
      </c>
    </row>
    <row r="29">
      <c r="A29" s="39" t="s">
        <v>31</v>
      </c>
      <c r="B29" s="5">
        <v>60.0</v>
      </c>
    </row>
    <row r="30">
      <c r="A30" s="32" t="s">
        <v>32</v>
      </c>
      <c r="B30" s="5">
        <v>10.0</v>
      </c>
    </row>
    <row r="31">
      <c r="A31" s="40" t="s">
        <v>33</v>
      </c>
      <c r="B31" s="8">
        <v>15.0</v>
      </c>
    </row>
    <row r="32">
      <c r="A32" s="13" t="s">
        <v>34</v>
      </c>
      <c r="B32" s="5">
        <v>2.0</v>
      </c>
    </row>
    <row r="33">
      <c r="A33" s="28" t="s">
        <v>35</v>
      </c>
      <c r="B33" s="5">
        <v>8.0</v>
      </c>
    </row>
    <row r="34">
      <c r="A34" s="41" t="s">
        <v>36</v>
      </c>
      <c r="B34" s="5">
        <v>5.0</v>
      </c>
    </row>
    <row r="35">
      <c r="A35" s="42" t="s">
        <v>37</v>
      </c>
      <c r="B35" s="8">
        <v>6.0</v>
      </c>
    </row>
    <row r="36">
      <c r="A36" s="43" t="s">
        <v>38</v>
      </c>
      <c r="B36" s="5">
        <v>20.0</v>
      </c>
    </row>
    <row r="37">
      <c r="A37" s="45" t="s">
        <v>39</v>
      </c>
      <c r="B37" s="8">
        <v>4.0</v>
      </c>
    </row>
    <row r="38">
      <c r="A38" s="47" t="s">
        <v>40</v>
      </c>
      <c r="B38" s="48">
        <v>35.0</v>
      </c>
    </row>
    <row r="39">
      <c r="A39" s="39" t="s">
        <v>41</v>
      </c>
      <c r="B39" s="5">
        <v>90.0</v>
      </c>
    </row>
    <row r="40">
      <c r="A40" s="49" t="s">
        <v>42</v>
      </c>
      <c r="B40" s="50">
        <v>4.0</v>
      </c>
    </row>
    <row r="41">
      <c r="A41" s="52" t="s">
        <v>44</v>
      </c>
      <c r="B41" s="5">
        <v>1.0</v>
      </c>
    </row>
    <row r="42">
      <c r="A42" s="6" t="s">
        <v>45</v>
      </c>
      <c r="B42" s="5">
        <v>4.0</v>
      </c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  <row r="995">
      <c r="B995" s="55"/>
    </row>
    <row r="996">
      <c r="B996" s="55"/>
    </row>
    <row r="997">
      <c r="B997" s="55"/>
    </row>
    <row r="998">
      <c r="B998" s="55"/>
    </row>
    <row r="999">
      <c r="B999" s="55"/>
    </row>
    <row r="1000">
      <c r="B1000" s="55"/>
    </row>
    <row r="1001">
      <c r="B1001" s="55"/>
    </row>
  </sheetData>
  <drawing r:id="rId1"/>
</worksheet>
</file>